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yu-my.sharepoint.com/personal/ilvekive_jyu_fi/Documents/"/>
    </mc:Choice>
  </mc:AlternateContent>
  <xr:revisionPtr revIDLastSave="7715" documentId="13_ncr:1_{B445D3FE-B2FE-4194-88FB-278E0F237F4F}" xr6:coauthVersionLast="47" xr6:coauthVersionMax="47" xr10:uidLastSave="{9868DE0C-A56C-42B2-A248-D23B7E89FDD2}"/>
  <bookViews>
    <workbookView xWindow="-120" yWindow="-120" windowWidth="29040" windowHeight="15840" tabRatio="829" xr2:uid="{00000000-000D-0000-FFFF-FFFF00000000}"/>
  </bookViews>
  <sheets>
    <sheet name="ilmoittautumiset" sheetId="2" r:id="rId1"/>
    <sheet name="ajanotto" sheetId="3" r:id="rId2"/>
    <sheet name="tulokset" sheetId="4" r:id="rId3"/>
    <sheet name="tulostaulukko" sheetId="5" r:id="rId4"/>
    <sheet name="Sheet1" sheetId="6" r:id="rId5"/>
  </sheets>
  <definedNames>
    <definedName name="_xlnm._FilterDatabase" localSheetId="0" hidden="1">ilmoittautumiset!$B$6:$E$204</definedName>
    <definedName name="_xlnm._FilterDatabase" localSheetId="2" hidden="1">tulokset!$A$1:$E$200</definedName>
    <definedName name="_xlnm._FilterDatabase" localSheetId="3" hidden="1">tulostaulukko!#REF!</definedName>
    <definedName name="ajanottotaulukko">ajanotto!$A$1:$H$200</definedName>
    <definedName name="_xlnm.Extract" localSheetId="3">tulostaulukko!#REF!</definedName>
    <definedName name="ilmoittautuneet">ilmoittautumiset!$A$6:$E$204</definedName>
    <definedName name="maaliajat">ajanotto!$A$2:$B$198</definedName>
    <definedName name="tulosdata">tulokset!$A$2:$E$200</definedName>
  </definedName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3" i="5"/>
  <c r="G2" i="5"/>
  <c r="H3" i="3"/>
  <c r="H4" i="3"/>
  <c r="E10" i="4" s="1"/>
  <c r="H5" i="3"/>
  <c r="H6" i="3"/>
  <c r="H7" i="3"/>
  <c r="H8" i="3"/>
  <c r="H9" i="3"/>
  <c r="H10" i="3"/>
  <c r="E14" i="4" s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E3" i="4"/>
  <c r="E4" i="4"/>
  <c r="E5" i="4"/>
  <c r="E6" i="4"/>
  <c r="E11" i="4"/>
  <c r="E12" i="4"/>
  <c r="E15" i="4"/>
  <c r="E16" i="4"/>
  <c r="E17" i="4"/>
  <c r="E18" i="4"/>
  <c r="E21" i="4"/>
  <c r="E22" i="4"/>
  <c r="E23" i="4"/>
  <c r="E24" i="4"/>
  <c r="E25" i="4"/>
  <c r="E26" i="4"/>
  <c r="E27" i="4"/>
  <c r="E28" i="4"/>
  <c r="E29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" i="4"/>
  <c r="E8" i="4" l="1"/>
  <c r="E9" i="4"/>
  <c r="E30" i="4"/>
  <c r="E31" i="4"/>
  <c r="E19" i="4"/>
  <c r="E20" i="4"/>
  <c r="E13" i="4"/>
  <c r="H2" i="3"/>
  <c r="E7" i="4" s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" i="3"/>
  <c r="D3" i="4"/>
  <c r="D4" i="4"/>
  <c r="D5" i="4"/>
  <c r="D6" i="4"/>
  <c r="D7" i="4"/>
  <c r="D8" i="4"/>
  <c r="D10" i="4"/>
  <c r="D9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" i="4"/>
  <c r="C3" i="4"/>
  <c r="C4" i="4"/>
  <c r="C5" i="4"/>
  <c r="C6" i="4"/>
  <c r="C7" i="4"/>
  <c r="C8" i="4"/>
  <c r="C10" i="4"/>
  <c r="C9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" i="4"/>
  <c r="B3" i="4"/>
  <c r="B4" i="4"/>
  <c r="B5" i="4"/>
  <c r="B6" i="4"/>
  <c r="B7" i="4"/>
  <c r="B8" i="4"/>
  <c r="B10" i="4"/>
  <c r="B9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" i="4"/>
</calcChain>
</file>

<file path=xl/sharedStrings.xml><?xml version="1.0" encoding="utf-8"?>
<sst xmlns="http://schemas.openxmlformats.org/spreadsheetml/2006/main" count="28" uniqueCount="18">
  <si>
    <t>numero</t>
  </si>
  <si>
    <t>nimi</t>
  </si>
  <si>
    <t>seura</t>
  </si>
  <si>
    <t>sarja</t>
  </si>
  <si>
    <t>lähtöaika</t>
  </si>
  <si>
    <t>Kilpailutiedot</t>
  </si>
  <si>
    <t>Lähtöväli</t>
  </si>
  <si>
    <t>1. lähtönumero</t>
  </si>
  <si>
    <t>maaliaika</t>
  </si>
  <si>
    <t>korjattu maaliaika</t>
  </si>
  <si>
    <t>loppuaika</t>
  </si>
  <si>
    <t>Numero</t>
  </si>
  <si>
    <t>Nimi</t>
  </si>
  <si>
    <t>Seura</t>
  </si>
  <si>
    <t>Sarja</t>
  </si>
  <si>
    <t>Aika</t>
  </si>
  <si>
    <t>Sija</t>
  </si>
  <si>
    <t>Ero karkeen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</si>
</sst>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[$-F400]h:mm:ss\ AM/PM"/>
    <numFmt numFmtId="166" formatCode="h:mm:ss;@"/>
    <numFmt numFmtId="167" formatCode="[&lt;0][mm]\ &quot;mm:ss&quot;;[h]\ &quot;h&quot;\ mm\ &quot;m&quot;"/>
    <numFmt numFmtId="168" formatCode="[hh]:mm:ss"/>
  </numFmts>
  <fonts count="7">
    <font>
      <sz val="10"/>
      <name val="Arial"/>
      <family val="2"/>
    </font>
    <font>
      <sz val="10"/>
      <name val="Lohit Devanagari"/>
      <family val="2"/>
    </font>
    <font>
      <sz val="12"/>
      <name val="Ubuntu"/>
    </font>
    <font>
      <sz val="10"/>
      <name val="Times New Roman"/>
      <family val="1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Border="0" applyProtection="0">
      <alignment horizontal="center" textRotation="90"/>
    </xf>
  </cellStyleXfs>
  <cellXfs count="22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wrapText="1"/>
    </xf>
    <xf numFmtId="164" fontId="0" fillId="0" borderId="0" xfId="0" applyNumberFormat="1"/>
    <xf numFmtId="0" fontId="2" fillId="2" borderId="0" xfId="0" applyFont="1" applyFill="1"/>
    <xf numFmtId="0" fontId="0" fillId="2" borderId="0" xfId="0" applyFill="1"/>
    <xf numFmtId="165" fontId="0" fillId="0" borderId="0" xfId="0" applyNumberFormat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166" fontId="0" fillId="0" borderId="0" xfId="0" applyNumberFormat="1"/>
    <xf numFmtId="22" fontId="2" fillId="0" borderId="0" xfId="0" applyNumberFormat="1" applyFont="1"/>
    <xf numFmtId="164" fontId="2" fillId="0" borderId="0" xfId="0" applyNumberFormat="1" applyFont="1"/>
    <xf numFmtId="164" fontId="4" fillId="3" borderId="0" xfId="0" applyNumberFormat="1" applyFont="1" applyFill="1" applyAlignment="1">
      <alignment wrapText="1"/>
    </xf>
    <xf numFmtId="45" fontId="5" fillId="3" borderId="0" xfId="0" applyNumberFormat="1" applyFont="1" applyFill="1"/>
    <xf numFmtId="45" fontId="0" fillId="0" borderId="0" xfId="0" applyNumberFormat="1"/>
    <xf numFmtId="45" fontId="0" fillId="2" borderId="0" xfId="0" applyNumberFormat="1" applyFill="1"/>
    <xf numFmtId="167" fontId="0" fillId="0" borderId="0" xfId="0" applyNumberFormat="1"/>
    <xf numFmtId="168" fontId="0" fillId="0" borderId="0" xfId="0" applyNumberFormat="1"/>
    <xf numFmtId="164" fontId="5" fillId="3" borderId="0" xfId="0" applyNumberFormat="1" applyFont="1" applyFill="1"/>
    <xf numFmtId="164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</cellXfs>
  <cellStyles count="2">
    <cellStyle name="Explanatory Text" xfId="1" builtinId="53" customBuiltin="1"/>
    <cellStyle name="Normal" xfId="0" builtinId="0"/>
  </cellStyles>
  <dxfs count="0"/>
  <tableStyles count="0" defaultTableStyle="TableStyleMedium9" defaultPivotStyle="PivotStyleLight16"/>
  <colors>
    <indexedColors>
      <rgbColor rgb="FF000000"/>
      <rgbColor rgb="FFFFFFFF"/>
      <rgbColor rgb="FFFF3333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104775</xdr:rowOff>
    </xdr:from>
    <xdr:to>
      <xdr:col>1</xdr:col>
      <xdr:colOff>962025</xdr:colOff>
      <xdr:row>2</xdr:row>
      <xdr:rowOff>152400</xdr:rowOff>
    </xdr:to>
    <xdr:sp macro="[0]!ShuffleArrayInPla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C98E5C-FD15-4420-A107-00726954892C}"/>
            </a:ext>
          </a:extLst>
        </xdr:cNvPr>
        <xdr:cNvSpPr/>
      </xdr:nvSpPr>
      <xdr:spPr>
        <a:xfrm>
          <a:off x="219075" y="104775"/>
          <a:ext cx="1514475" cy="37147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Arvo järjestys</a:t>
          </a:r>
          <a:r>
            <a:rPr lang="fi-FI" sz="1100" baseline="0"/>
            <a:t> sarjoittain</a:t>
          </a:r>
          <a:endParaRPr lang="fi-FI" sz="1100"/>
        </a:p>
        <a:p>
          <a:pPr algn="ctr"/>
          <a:endParaRPr lang="fi-FI" sz="1100"/>
        </a:p>
      </xdr:txBody>
    </xdr:sp>
    <xdr:clientData/>
  </xdr:twoCellAnchor>
  <xdr:twoCellAnchor>
    <xdr:from>
      <xdr:col>1</xdr:col>
      <xdr:colOff>1104900</xdr:colOff>
      <xdr:row>0</xdr:row>
      <xdr:rowOff>104775</xdr:rowOff>
    </xdr:from>
    <xdr:to>
      <xdr:col>2</xdr:col>
      <xdr:colOff>647700</xdr:colOff>
      <xdr:row>3</xdr:row>
      <xdr:rowOff>9525</xdr:rowOff>
    </xdr:to>
    <xdr:sp macro="[0]!LuoLahtoaja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DB0B1D-4316-4821-B4A4-49CEED3CC131}"/>
            </a:ext>
          </a:extLst>
        </xdr:cNvPr>
        <xdr:cNvSpPr/>
      </xdr:nvSpPr>
      <xdr:spPr>
        <a:xfrm>
          <a:off x="1876425" y="104775"/>
          <a:ext cx="1295400" cy="39052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Luo</a:t>
          </a:r>
          <a:r>
            <a:rPr lang="fi-FI" sz="1100" baseline="0"/>
            <a:t> lähtöajat</a:t>
          </a:r>
          <a:endParaRPr lang="fi-FI" sz="1100"/>
        </a:p>
        <a:p>
          <a:pPr algn="ctr"/>
          <a:endParaRPr lang="fi-FI" sz="1100"/>
        </a:p>
      </xdr:txBody>
    </xdr:sp>
    <xdr:clientData/>
  </xdr:twoCellAnchor>
  <xdr:twoCellAnchor>
    <xdr:from>
      <xdr:col>3</xdr:col>
      <xdr:colOff>0</xdr:colOff>
      <xdr:row>0</xdr:row>
      <xdr:rowOff>104775</xdr:rowOff>
    </xdr:from>
    <xdr:to>
      <xdr:col>4</xdr:col>
      <xdr:colOff>190500</xdr:colOff>
      <xdr:row>3</xdr:row>
      <xdr:rowOff>9525</xdr:rowOff>
    </xdr:to>
    <xdr:sp macro="[0]!Numeroi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7E814C4-876B-47FA-929E-6B7BD9E2AE67}"/>
            </a:ext>
          </a:extLst>
        </xdr:cNvPr>
        <xdr:cNvSpPr/>
      </xdr:nvSpPr>
      <xdr:spPr>
        <a:xfrm>
          <a:off x="3371850" y="104775"/>
          <a:ext cx="962025" cy="39052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Numeroi</a:t>
          </a:r>
        </a:p>
        <a:p>
          <a:pPr algn="ctr"/>
          <a:endParaRPr lang="fi-FI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171450</xdr:rowOff>
    </xdr:from>
    <xdr:to>
      <xdr:col>8</xdr:col>
      <xdr:colOff>1323975</xdr:colOff>
      <xdr:row>0</xdr:row>
      <xdr:rowOff>542926</xdr:rowOff>
    </xdr:to>
    <xdr:sp macro="[0]!LuoAik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5CAC326-1804-43ED-A525-FB015D040852}"/>
            </a:ext>
          </a:extLst>
        </xdr:cNvPr>
        <xdr:cNvSpPr/>
      </xdr:nvSpPr>
      <xdr:spPr>
        <a:xfrm>
          <a:off x="9820275" y="171450"/>
          <a:ext cx="1266825" cy="371476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OTA AIKA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CV155"/>
  <sheetViews>
    <sheetView tabSelected="1" zoomScale="115" zoomScaleNormal="115" workbookViewId="0">
      <selection activeCell="B6" sqref="B6:D147"/>
    </sheetView>
  </sheetViews>
  <sheetFormatPr defaultRowHeight="12.75"/>
  <cols>
    <col min="1" max="1" width="11.5703125"/>
    <col min="2" max="2" width="26.28515625" customWidth="1"/>
    <col min="3" max="3" width="12.7109375" customWidth="1"/>
    <col min="4" max="4" width="11.5703125"/>
    <col min="5" max="5" width="11.5703125" style="3"/>
    <col min="6" max="6" width="11.5703125"/>
    <col min="7" max="7" width="15.7109375" bestFit="1" customWidth="1"/>
    <col min="8" max="8" width="17.85546875" bestFit="1" customWidth="1"/>
    <col min="9" max="1025" width="11.5703125"/>
  </cols>
  <sheetData>
    <row r="5" spans="1:100" ht="15.75">
      <c r="A5" s="8" t="s">
        <v>0</v>
      </c>
      <c r="B5" s="8" t="s">
        <v>1</v>
      </c>
      <c r="C5" s="8" t="s">
        <v>2</v>
      </c>
      <c r="D5" s="8" t="s">
        <v>3</v>
      </c>
      <c r="E5" s="19" t="s">
        <v>4</v>
      </c>
      <c r="G5" s="8" t="s">
        <v>5</v>
      </c>
      <c r="H5" s="8" t="s">
        <v>4</v>
      </c>
      <c r="I5" s="20">
        <v>0.45833333333333331</v>
      </c>
    </row>
    <row r="6" spans="1:100" ht="15.75">
      <c r="A6">
        <v>5</v>
      </c>
      <c r="E6" s="3">
        <v>0.45833333333333331</v>
      </c>
      <c r="H6" s="8" t="s">
        <v>6</v>
      </c>
      <c r="I6" s="21">
        <v>3.4722222222222224E-4</v>
      </c>
      <c r="CV6">
        <v>3.0295994947530658E-2</v>
      </c>
    </row>
    <row r="7" spans="1:100" ht="15.75">
      <c r="A7">
        <v>6</v>
      </c>
      <c r="E7" s="3">
        <v>0.45868055555555554</v>
      </c>
      <c r="H7" s="8" t="s">
        <v>7</v>
      </c>
      <c r="I7">
        <v>5</v>
      </c>
      <c r="CV7">
        <v>0.48739331201498992</v>
      </c>
    </row>
    <row r="8" spans="1:100">
      <c r="A8">
        <v>7</v>
      </c>
      <c r="E8" s="3">
        <v>0.45902777777777776</v>
      </c>
      <c r="CV8">
        <v>0.64244609165197819</v>
      </c>
    </row>
    <row r="9" spans="1:100">
      <c r="A9">
        <v>8</v>
      </c>
      <c r="E9" s="3">
        <v>0.45937499999999998</v>
      </c>
    </row>
    <row r="10" spans="1:100">
      <c r="A10">
        <v>9</v>
      </c>
      <c r="E10" s="3">
        <v>0.4597222222222222</v>
      </c>
    </row>
    <row r="11" spans="1:100">
      <c r="A11">
        <v>10</v>
      </c>
      <c r="E11" s="3">
        <v>0.46006944444444442</v>
      </c>
    </row>
    <row r="12" spans="1:100">
      <c r="A12">
        <v>11</v>
      </c>
      <c r="E12" s="3">
        <v>0.46041666666666664</v>
      </c>
    </row>
    <row r="13" spans="1:100">
      <c r="A13">
        <v>12</v>
      </c>
      <c r="E13" s="3">
        <v>0.46076388888888886</v>
      </c>
    </row>
    <row r="14" spans="1:100">
      <c r="A14">
        <v>13</v>
      </c>
      <c r="E14" s="3">
        <v>0.46111111111111108</v>
      </c>
    </row>
    <row r="15" spans="1:100">
      <c r="A15">
        <v>14</v>
      </c>
      <c r="E15" s="3">
        <v>0.4614583333333333</v>
      </c>
    </row>
    <row r="16" spans="1:100">
      <c r="A16">
        <v>15</v>
      </c>
      <c r="E16" s="3">
        <v>0.46180555555555552</v>
      </c>
    </row>
    <row r="17" spans="1:5">
      <c r="A17">
        <v>16</v>
      </c>
      <c r="E17" s="3">
        <v>0.46215277777777775</v>
      </c>
    </row>
    <row r="18" spans="1:5">
      <c r="A18">
        <v>17</v>
      </c>
      <c r="E18" s="3">
        <v>0.46249999999999997</v>
      </c>
    </row>
    <row r="19" spans="1:5">
      <c r="A19">
        <v>18</v>
      </c>
      <c r="E19" s="3">
        <v>0.46284722222222219</v>
      </c>
    </row>
    <row r="20" spans="1:5">
      <c r="A20">
        <v>19</v>
      </c>
      <c r="E20" s="3">
        <v>0.46319444444444441</v>
      </c>
    </row>
    <row r="21" spans="1:5">
      <c r="A21">
        <v>20</v>
      </c>
      <c r="E21" s="3">
        <v>0.46354166666666663</v>
      </c>
    </row>
    <row r="22" spans="1:5">
      <c r="A22">
        <v>21</v>
      </c>
      <c r="E22" s="3">
        <v>0.46388888888888885</v>
      </c>
    </row>
    <row r="23" spans="1:5">
      <c r="A23">
        <v>22</v>
      </c>
      <c r="E23" s="3">
        <v>0.46423611111111107</v>
      </c>
    </row>
    <row r="24" spans="1:5">
      <c r="A24">
        <v>23</v>
      </c>
      <c r="E24" s="3">
        <v>0.46458333333333329</v>
      </c>
    </row>
    <row r="25" spans="1:5">
      <c r="A25">
        <v>24</v>
      </c>
      <c r="E25" s="3">
        <v>0.46493055555555551</v>
      </c>
    </row>
    <row r="26" spans="1:5">
      <c r="A26">
        <v>25</v>
      </c>
      <c r="E26" s="3">
        <v>0.46527777777777773</v>
      </c>
    </row>
    <row r="27" spans="1:5">
      <c r="A27">
        <v>26</v>
      </c>
      <c r="E27" s="3">
        <v>0.46562499999999996</v>
      </c>
    </row>
    <row r="28" spans="1:5">
      <c r="A28">
        <v>27</v>
      </c>
      <c r="E28" s="3">
        <v>0.46597222222222223</v>
      </c>
    </row>
    <row r="29" spans="1:5">
      <c r="A29">
        <v>28</v>
      </c>
      <c r="E29" s="3">
        <v>0.46631944444444445</v>
      </c>
    </row>
    <row r="30" spans="1:5">
      <c r="A30">
        <v>29</v>
      </c>
      <c r="E30" s="3">
        <v>0.46666666666666667</v>
      </c>
    </row>
    <row r="31" spans="1:5">
      <c r="A31">
        <v>30</v>
      </c>
      <c r="E31" s="3">
        <v>0.4670138888888889</v>
      </c>
    </row>
    <row r="32" spans="1:5">
      <c r="A32">
        <v>31</v>
      </c>
      <c r="E32" s="3">
        <v>0.46736111111111112</v>
      </c>
    </row>
    <row r="33" spans="1:5">
      <c r="A33">
        <v>32</v>
      </c>
      <c r="E33" s="3">
        <v>0.46770833333333334</v>
      </c>
    </row>
    <row r="34" spans="1:5">
      <c r="A34">
        <v>33</v>
      </c>
      <c r="E34" s="3">
        <v>0.46805555555555556</v>
      </c>
    </row>
    <row r="35" spans="1:5">
      <c r="A35">
        <v>34</v>
      </c>
      <c r="E35" s="3">
        <v>0.46840277777777778</v>
      </c>
    </row>
    <row r="36" spans="1:5">
      <c r="A36">
        <v>35</v>
      </c>
      <c r="E36" s="3">
        <v>0.46875</v>
      </c>
    </row>
    <row r="37" spans="1:5">
      <c r="A37">
        <v>36</v>
      </c>
      <c r="E37" s="3">
        <v>0.46909722222222222</v>
      </c>
    </row>
    <row r="38" spans="1:5">
      <c r="A38">
        <v>37</v>
      </c>
      <c r="E38" s="3">
        <v>0.46944444444444444</v>
      </c>
    </row>
    <row r="39" spans="1:5">
      <c r="A39">
        <v>38</v>
      </c>
      <c r="E39" s="3">
        <v>0.46979166666666666</v>
      </c>
    </row>
    <row r="40" spans="1:5">
      <c r="A40">
        <v>39</v>
      </c>
      <c r="E40" s="3">
        <v>0.47013888888888888</v>
      </c>
    </row>
    <row r="41" spans="1:5">
      <c r="A41">
        <v>40</v>
      </c>
      <c r="E41" s="3">
        <v>0.4704861111111111</v>
      </c>
    </row>
    <row r="42" spans="1:5">
      <c r="A42">
        <v>41</v>
      </c>
      <c r="E42" s="3">
        <v>0.47083333333333333</v>
      </c>
    </row>
    <row r="43" spans="1:5">
      <c r="A43">
        <v>42</v>
      </c>
      <c r="E43" s="3">
        <v>0.47118055555555555</v>
      </c>
    </row>
    <row r="44" spans="1:5">
      <c r="A44">
        <v>43</v>
      </c>
      <c r="E44" s="3">
        <v>0.47152777777777777</v>
      </c>
    </row>
    <row r="45" spans="1:5">
      <c r="A45">
        <v>44</v>
      </c>
      <c r="E45" s="3">
        <v>0.47187499999999999</v>
      </c>
    </row>
    <row r="46" spans="1:5">
      <c r="A46">
        <v>45</v>
      </c>
      <c r="E46" s="3">
        <v>0.47222222222222221</v>
      </c>
    </row>
    <row r="47" spans="1:5">
      <c r="A47">
        <v>46</v>
      </c>
      <c r="E47" s="3">
        <v>0.47256944444444443</v>
      </c>
    </row>
    <row r="48" spans="1:5">
      <c r="A48">
        <v>47</v>
      </c>
      <c r="E48" s="3">
        <v>0.47291666666666665</v>
      </c>
    </row>
    <row r="49" spans="1:5">
      <c r="A49">
        <v>48</v>
      </c>
      <c r="E49" s="3">
        <v>0.47326388888888887</v>
      </c>
    </row>
    <row r="50" spans="1:5">
      <c r="A50">
        <v>49</v>
      </c>
      <c r="E50" s="3">
        <v>0.47361111111111109</v>
      </c>
    </row>
    <row r="51" spans="1:5">
      <c r="A51">
        <v>50</v>
      </c>
      <c r="E51" s="3">
        <v>0.47395833333333331</v>
      </c>
    </row>
    <row r="52" spans="1:5">
      <c r="A52">
        <v>51</v>
      </c>
      <c r="E52" s="3">
        <v>0.47430555555555554</v>
      </c>
    </row>
    <row r="53" spans="1:5">
      <c r="A53">
        <v>52</v>
      </c>
      <c r="E53" s="3">
        <v>0.47465277777777776</v>
      </c>
    </row>
    <row r="54" spans="1:5">
      <c r="A54">
        <v>53</v>
      </c>
      <c r="E54" s="3">
        <v>0.47499999999999998</v>
      </c>
    </row>
    <row r="55" spans="1:5">
      <c r="A55">
        <v>54</v>
      </c>
      <c r="E55" s="3">
        <v>0.4753472222222222</v>
      </c>
    </row>
    <row r="56" spans="1:5">
      <c r="A56">
        <v>55</v>
      </c>
      <c r="E56" s="3">
        <v>0.47569444444444442</v>
      </c>
    </row>
    <row r="57" spans="1:5">
      <c r="A57">
        <v>56</v>
      </c>
      <c r="E57" s="3">
        <v>0.47604166666666664</v>
      </c>
    </row>
    <row r="58" spans="1:5">
      <c r="A58">
        <v>57</v>
      </c>
      <c r="E58" s="3">
        <v>0.47638888888888886</v>
      </c>
    </row>
    <row r="59" spans="1:5">
      <c r="A59">
        <v>58</v>
      </c>
      <c r="E59" s="3">
        <v>0.47673611111111108</v>
      </c>
    </row>
    <row r="60" spans="1:5">
      <c r="A60">
        <v>59</v>
      </c>
      <c r="E60" s="3">
        <v>0.4770833333333333</v>
      </c>
    </row>
    <row r="61" spans="1:5">
      <c r="A61">
        <v>60</v>
      </c>
      <c r="E61" s="3">
        <v>0.47743055555555552</v>
      </c>
    </row>
    <row r="62" spans="1:5">
      <c r="A62">
        <v>61</v>
      </c>
      <c r="E62" s="3">
        <v>0.47777777777777775</v>
      </c>
    </row>
    <row r="63" spans="1:5">
      <c r="A63">
        <v>62</v>
      </c>
      <c r="E63" s="3">
        <v>0.47812499999999997</v>
      </c>
    </row>
    <row r="64" spans="1:5">
      <c r="A64">
        <v>63</v>
      </c>
      <c r="E64" s="3">
        <v>0.47847222222222219</v>
      </c>
    </row>
    <row r="65" spans="1:5">
      <c r="A65">
        <v>64</v>
      </c>
      <c r="E65" s="3">
        <v>0.47881944444444441</v>
      </c>
    </row>
    <row r="66" spans="1:5">
      <c r="A66">
        <v>65</v>
      </c>
      <c r="E66" s="3">
        <v>0.47916666666666663</v>
      </c>
    </row>
    <row r="67" spans="1:5">
      <c r="A67">
        <v>66</v>
      </c>
      <c r="E67" s="3">
        <v>0.47951388888888885</v>
      </c>
    </row>
    <row r="68" spans="1:5">
      <c r="A68">
        <v>67</v>
      </c>
      <c r="E68" s="3">
        <v>0.47986111111111107</v>
      </c>
    </row>
    <row r="69" spans="1:5">
      <c r="A69">
        <v>68</v>
      </c>
      <c r="E69" s="3">
        <v>0.48020833333333329</v>
      </c>
    </row>
    <row r="70" spans="1:5">
      <c r="A70">
        <v>69</v>
      </c>
      <c r="E70" s="3">
        <v>0.48055555555555551</v>
      </c>
    </row>
    <row r="71" spans="1:5">
      <c r="A71">
        <v>70</v>
      </c>
      <c r="E71" s="3">
        <v>0.48090277777777773</v>
      </c>
    </row>
    <row r="72" spans="1:5">
      <c r="A72">
        <v>71</v>
      </c>
      <c r="E72" s="3">
        <v>0.48124999999999996</v>
      </c>
    </row>
    <row r="73" spans="1:5">
      <c r="A73">
        <v>72</v>
      </c>
      <c r="E73" s="3">
        <v>0.48159722222222223</v>
      </c>
    </row>
    <row r="74" spans="1:5">
      <c r="A74">
        <v>73</v>
      </c>
      <c r="E74" s="3">
        <v>0.4819444444444444</v>
      </c>
    </row>
    <row r="75" spans="1:5">
      <c r="A75">
        <v>74</v>
      </c>
      <c r="E75" s="3">
        <v>0.48229166666666667</v>
      </c>
    </row>
    <row r="76" spans="1:5">
      <c r="A76">
        <v>75</v>
      </c>
      <c r="E76" s="3">
        <v>0.4826388888888889</v>
      </c>
    </row>
    <row r="77" spans="1:5">
      <c r="A77">
        <v>76</v>
      </c>
      <c r="E77" s="3">
        <v>0.48298611111111112</v>
      </c>
    </row>
    <row r="78" spans="1:5">
      <c r="A78">
        <v>77</v>
      </c>
      <c r="E78" s="3">
        <v>0.48333333333333334</v>
      </c>
    </row>
    <row r="79" spans="1:5">
      <c r="A79">
        <v>78</v>
      </c>
      <c r="E79" s="3">
        <v>0.48368055555555556</v>
      </c>
    </row>
    <row r="80" spans="1:5">
      <c r="A80">
        <v>79</v>
      </c>
      <c r="E80" s="3">
        <v>0.48402777777777778</v>
      </c>
    </row>
    <row r="81" spans="1:5">
      <c r="A81">
        <v>80</v>
      </c>
      <c r="E81" s="3">
        <v>0.484375</v>
      </c>
    </row>
    <row r="82" spans="1:5">
      <c r="A82">
        <v>81</v>
      </c>
      <c r="E82" s="3">
        <v>0.48472222222222222</v>
      </c>
    </row>
    <row r="83" spans="1:5">
      <c r="A83">
        <v>82</v>
      </c>
      <c r="E83" s="3">
        <v>0.48506944444444444</v>
      </c>
    </row>
    <row r="84" spans="1:5">
      <c r="A84">
        <v>83</v>
      </c>
      <c r="E84" s="3">
        <v>0.48541666666666666</v>
      </c>
    </row>
    <row r="85" spans="1:5">
      <c r="A85">
        <v>84</v>
      </c>
      <c r="E85" s="3">
        <v>0.48576388888888888</v>
      </c>
    </row>
    <row r="86" spans="1:5">
      <c r="A86">
        <v>85</v>
      </c>
      <c r="E86" s="3">
        <v>0.4861111111111111</v>
      </c>
    </row>
    <row r="87" spans="1:5">
      <c r="A87">
        <v>86</v>
      </c>
      <c r="E87" s="3">
        <v>0.48645833333333333</v>
      </c>
    </row>
    <row r="88" spans="1:5">
      <c r="A88">
        <v>87</v>
      </c>
      <c r="E88" s="3">
        <v>0.48680555555555555</v>
      </c>
    </row>
    <row r="89" spans="1:5">
      <c r="A89">
        <v>88</v>
      </c>
      <c r="E89" s="3">
        <v>0.48715277777777777</v>
      </c>
    </row>
    <row r="90" spans="1:5">
      <c r="A90">
        <v>89</v>
      </c>
      <c r="E90" s="3">
        <v>0.48749999999999999</v>
      </c>
    </row>
    <row r="91" spans="1:5">
      <c r="A91">
        <v>90</v>
      </c>
      <c r="E91" s="3">
        <v>0.48784722222222221</v>
      </c>
    </row>
    <row r="92" spans="1:5">
      <c r="A92">
        <v>91</v>
      </c>
      <c r="E92" s="3">
        <v>0.48819444444444443</v>
      </c>
    </row>
    <row r="93" spans="1:5">
      <c r="A93">
        <v>92</v>
      </c>
      <c r="E93" s="3">
        <v>0.48854166666666665</v>
      </c>
    </row>
    <row r="94" spans="1:5">
      <c r="A94">
        <v>93</v>
      </c>
      <c r="E94" s="3">
        <v>0.48888888888888887</v>
      </c>
    </row>
    <row r="95" spans="1:5">
      <c r="A95">
        <v>94</v>
      </c>
      <c r="E95" s="3">
        <v>0.48923611111111109</v>
      </c>
    </row>
    <row r="96" spans="1:5">
      <c r="A96">
        <v>95</v>
      </c>
      <c r="E96" s="3">
        <v>0.48958333333333331</v>
      </c>
    </row>
    <row r="97" spans="1:5">
      <c r="A97">
        <v>96</v>
      </c>
      <c r="E97" s="3">
        <v>0.48993055555555554</v>
      </c>
    </row>
    <row r="98" spans="1:5">
      <c r="A98">
        <v>97</v>
      </c>
      <c r="E98" s="3">
        <v>0.49027777777777776</v>
      </c>
    </row>
    <row r="99" spans="1:5">
      <c r="A99">
        <v>98</v>
      </c>
      <c r="E99" s="3">
        <v>0.49062499999999998</v>
      </c>
    </row>
    <row r="100" spans="1:5">
      <c r="A100">
        <v>99</v>
      </c>
      <c r="E100" s="3">
        <v>0.4909722222222222</v>
      </c>
    </row>
    <row r="101" spans="1:5">
      <c r="A101">
        <v>100</v>
      </c>
      <c r="E101" s="3">
        <v>0.49131944444444442</v>
      </c>
    </row>
    <row r="102" spans="1:5">
      <c r="A102">
        <v>101</v>
      </c>
      <c r="E102" s="3">
        <v>0.49166666666666664</v>
      </c>
    </row>
    <row r="103" spans="1:5">
      <c r="A103">
        <v>102</v>
      </c>
      <c r="E103" s="3">
        <v>0.49201388888888886</v>
      </c>
    </row>
    <row r="104" spans="1:5">
      <c r="A104">
        <v>103</v>
      </c>
      <c r="E104" s="3">
        <v>0.49236111111111108</v>
      </c>
    </row>
    <row r="105" spans="1:5">
      <c r="A105">
        <v>104</v>
      </c>
      <c r="E105" s="3">
        <v>0.4927083333333333</v>
      </c>
    </row>
    <row r="106" spans="1:5">
      <c r="A106">
        <v>105</v>
      </c>
      <c r="E106" s="3">
        <v>0.49305555555555552</v>
      </c>
    </row>
    <row r="107" spans="1:5">
      <c r="A107">
        <v>106</v>
      </c>
      <c r="E107" s="3">
        <v>0.49340277777777775</v>
      </c>
    </row>
    <row r="108" spans="1:5">
      <c r="A108">
        <v>107</v>
      </c>
      <c r="E108" s="3">
        <v>0.49374999999999997</v>
      </c>
    </row>
    <row r="109" spans="1:5">
      <c r="A109">
        <v>108</v>
      </c>
      <c r="E109" s="3">
        <v>0.49409722222222219</v>
      </c>
    </row>
    <row r="110" spans="1:5">
      <c r="A110">
        <v>109</v>
      </c>
      <c r="E110" s="3">
        <v>0.49444444444444441</v>
      </c>
    </row>
    <row r="111" spans="1:5">
      <c r="A111">
        <v>110</v>
      </c>
      <c r="E111" s="3">
        <v>0.49479166666666663</v>
      </c>
    </row>
    <row r="112" spans="1:5">
      <c r="A112">
        <v>111</v>
      </c>
      <c r="E112" s="3">
        <v>0.49513888888888885</v>
      </c>
    </row>
    <row r="113" spans="1:5">
      <c r="A113">
        <v>112</v>
      </c>
      <c r="E113" s="3">
        <v>0.49548611111111107</v>
      </c>
    </row>
    <row r="114" spans="1:5">
      <c r="A114">
        <v>113</v>
      </c>
      <c r="E114" s="3">
        <v>0.49583333333333329</v>
      </c>
    </row>
    <row r="115" spans="1:5">
      <c r="A115">
        <v>114</v>
      </c>
      <c r="E115" s="3">
        <v>0.49618055555555551</v>
      </c>
    </row>
    <row r="116" spans="1:5">
      <c r="A116">
        <v>115</v>
      </c>
      <c r="E116" s="3">
        <v>0.49652777777777779</v>
      </c>
    </row>
    <row r="117" spans="1:5">
      <c r="A117">
        <v>116</v>
      </c>
      <c r="E117" s="3">
        <v>0.49687499999999996</v>
      </c>
    </row>
    <row r="118" spans="1:5">
      <c r="A118">
        <v>117</v>
      </c>
      <c r="E118" s="3">
        <v>0.49722222222222223</v>
      </c>
    </row>
    <row r="119" spans="1:5">
      <c r="A119">
        <v>118</v>
      </c>
      <c r="E119" s="3">
        <v>0.4975694444444444</v>
      </c>
    </row>
    <row r="120" spans="1:5">
      <c r="A120">
        <v>119</v>
      </c>
      <c r="E120" s="3">
        <v>0.49791666666666667</v>
      </c>
    </row>
    <row r="121" spans="1:5">
      <c r="A121">
        <v>120</v>
      </c>
      <c r="E121" s="3">
        <v>0.4982638888888889</v>
      </c>
    </row>
    <row r="122" spans="1:5">
      <c r="A122">
        <v>121</v>
      </c>
      <c r="E122" s="3">
        <v>0.49861111111111112</v>
      </c>
    </row>
    <row r="123" spans="1:5">
      <c r="A123">
        <v>122</v>
      </c>
      <c r="E123" s="3">
        <v>0.49895833333333334</v>
      </c>
    </row>
    <row r="124" spans="1:5">
      <c r="A124">
        <v>123</v>
      </c>
      <c r="E124" s="3">
        <v>0.49930555555555556</v>
      </c>
    </row>
    <row r="125" spans="1:5">
      <c r="A125">
        <v>124</v>
      </c>
      <c r="E125" s="3">
        <v>0.49965277777777778</v>
      </c>
    </row>
    <row r="126" spans="1:5">
      <c r="A126">
        <v>125</v>
      </c>
      <c r="E126" s="3">
        <v>0.5</v>
      </c>
    </row>
    <row r="127" spans="1:5">
      <c r="A127">
        <v>126</v>
      </c>
      <c r="E127" s="3">
        <v>0.50034722222222217</v>
      </c>
    </row>
    <row r="128" spans="1:5">
      <c r="A128">
        <v>127</v>
      </c>
      <c r="E128" s="3">
        <v>0.50069444444444444</v>
      </c>
    </row>
    <row r="129" spans="1:5">
      <c r="A129">
        <v>128</v>
      </c>
      <c r="E129" s="3">
        <v>0.50104166666666661</v>
      </c>
    </row>
    <row r="130" spans="1:5">
      <c r="A130">
        <v>129</v>
      </c>
      <c r="E130" s="3">
        <v>0.50138888888888888</v>
      </c>
    </row>
    <row r="131" spans="1:5">
      <c r="A131">
        <v>130</v>
      </c>
      <c r="E131" s="3">
        <v>0.50173611111111105</v>
      </c>
    </row>
    <row r="132" spans="1:5">
      <c r="A132">
        <v>131</v>
      </c>
      <c r="E132" s="3">
        <v>0.50208333333333333</v>
      </c>
    </row>
    <row r="133" spans="1:5">
      <c r="A133">
        <v>132</v>
      </c>
      <c r="E133" s="3">
        <v>0.50243055555555549</v>
      </c>
    </row>
    <row r="134" spans="1:5">
      <c r="A134">
        <v>133</v>
      </c>
      <c r="E134" s="3">
        <v>0.50277777777777777</v>
      </c>
    </row>
    <row r="135" spans="1:5">
      <c r="A135">
        <v>134</v>
      </c>
      <c r="E135" s="3">
        <v>0.50312499999999993</v>
      </c>
    </row>
    <row r="136" spans="1:5">
      <c r="A136">
        <v>135</v>
      </c>
      <c r="E136" s="3">
        <v>0.50347222222222221</v>
      </c>
    </row>
    <row r="137" spans="1:5">
      <c r="A137">
        <v>136</v>
      </c>
      <c r="E137" s="3">
        <v>0.50381944444444438</v>
      </c>
    </row>
    <row r="138" spans="1:5">
      <c r="A138">
        <v>137</v>
      </c>
      <c r="E138" s="3">
        <v>0.50416666666666665</v>
      </c>
    </row>
    <row r="139" spans="1:5">
      <c r="A139">
        <v>138</v>
      </c>
      <c r="E139" s="3">
        <v>0.50451388888888893</v>
      </c>
    </row>
    <row r="140" spans="1:5">
      <c r="A140">
        <v>139</v>
      </c>
      <c r="E140" s="3">
        <v>0.50486111111111109</v>
      </c>
    </row>
    <row r="141" spans="1:5">
      <c r="A141">
        <v>140</v>
      </c>
      <c r="E141" s="3">
        <v>0.50520833333333326</v>
      </c>
    </row>
    <row r="142" spans="1:5">
      <c r="A142">
        <v>141</v>
      </c>
      <c r="E142" s="3">
        <v>0.50555555555555554</v>
      </c>
    </row>
    <row r="143" spans="1:5">
      <c r="A143">
        <v>142</v>
      </c>
      <c r="E143" s="3">
        <v>0.50590277777777781</v>
      </c>
    </row>
    <row r="144" spans="1:5">
      <c r="A144">
        <v>143</v>
      </c>
      <c r="E144" s="3">
        <v>0.50624999999999998</v>
      </c>
    </row>
    <row r="145" spans="1:5">
      <c r="A145">
        <v>144</v>
      </c>
      <c r="E145" s="3">
        <v>0.50659722222222225</v>
      </c>
    </row>
    <row r="146" spans="1:5">
      <c r="A146">
        <v>145</v>
      </c>
      <c r="E146" s="3">
        <v>0.50694444444444442</v>
      </c>
    </row>
    <row r="147" spans="1:5">
      <c r="A147">
        <v>146</v>
      </c>
      <c r="E147" s="3">
        <v>0.5072916666666667</v>
      </c>
    </row>
    <row r="148" spans="1:5">
      <c r="A148">
        <v>147</v>
      </c>
      <c r="E148" s="3">
        <v>0.50763888888888886</v>
      </c>
    </row>
    <row r="149" spans="1:5">
      <c r="A149">
        <v>148</v>
      </c>
      <c r="E149" s="3">
        <v>0.50798611111111114</v>
      </c>
    </row>
    <row r="150" spans="1:5">
      <c r="A150">
        <v>149</v>
      </c>
      <c r="E150" s="3">
        <v>0.5083333333333333</v>
      </c>
    </row>
    <row r="151" spans="1:5">
      <c r="A151">
        <v>150</v>
      </c>
      <c r="E151" s="3">
        <v>0.50868055555555558</v>
      </c>
    </row>
    <row r="152" spans="1:5">
      <c r="A152">
        <v>151</v>
      </c>
      <c r="E152" s="3">
        <v>0.50902777777777775</v>
      </c>
    </row>
    <row r="153" spans="1:5">
      <c r="A153">
        <v>152</v>
      </c>
      <c r="E153" s="3">
        <v>0.50937500000000002</v>
      </c>
    </row>
    <row r="154" spans="1:5">
      <c r="A154">
        <v>153</v>
      </c>
      <c r="E154" s="3">
        <v>0.50972222222222219</v>
      </c>
    </row>
    <row r="155" spans="1:5">
      <c r="A155">
        <v>154</v>
      </c>
      <c r="E155" s="3">
        <v>0.51006944444444446</v>
      </c>
    </row>
  </sheetData>
  <sortState xmlns:xlrd2="http://schemas.microsoft.com/office/spreadsheetml/2017/richdata2" ref="A7:E155">
    <sortCondition ref="D6"/>
  </sortState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>
    <oddHeader>&amp;C&amp;A</oddHeader>
    <oddFooter>&amp;CSivu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1048576"/>
  <sheetViews>
    <sheetView zoomScale="115" zoomScaleNormal="115" workbookViewId="0">
      <pane ySplit="1" topLeftCell="A2" activePane="bottomLeft" state="frozen"/>
      <selection pane="bottomLeft" activeCell="A2" sqref="A2:B12"/>
    </sheetView>
  </sheetViews>
  <sheetFormatPr defaultRowHeight="15"/>
  <cols>
    <col min="1" max="1" width="20.140625" style="1" customWidth="1"/>
    <col min="2" max="2" width="19.140625" style="12" customWidth="1"/>
    <col min="3" max="3" width="21.85546875" customWidth="1"/>
    <col min="4" max="4" width="7.85546875" customWidth="1"/>
    <col min="5" max="5" width="25" customWidth="1"/>
    <col min="6" max="6" width="16.28515625" customWidth="1"/>
    <col min="7" max="7" width="12.42578125" customWidth="1"/>
    <col min="8" max="8" width="15.140625" style="15" customWidth="1"/>
    <col min="9" max="9" width="22.42578125" customWidth="1"/>
    <col min="10" max="10" width="15.140625" customWidth="1"/>
    <col min="11" max="11" width="8.5703125" customWidth="1"/>
    <col min="12" max="12" width="5" customWidth="1"/>
    <col min="13" max="13" width="8.5703125" customWidth="1"/>
    <col min="14" max="14" width="5" customWidth="1"/>
    <col min="15" max="15" width="8.5703125" customWidth="1"/>
    <col min="16" max="16" width="5" customWidth="1"/>
    <col min="17" max="17" width="8.5703125" customWidth="1"/>
    <col min="18" max="18" width="5" customWidth="1"/>
    <col min="19" max="19" width="8.5703125" customWidth="1"/>
    <col min="20" max="20" width="5" customWidth="1"/>
    <col min="21" max="21" width="8.5703125" customWidth="1"/>
    <col min="22" max="22" width="5" customWidth="1"/>
    <col min="23" max="23" width="8.5703125" customWidth="1"/>
    <col min="24" max="24" width="5" customWidth="1"/>
    <col min="25" max="25" width="8.5703125" customWidth="1"/>
    <col min="26" max="1018" width="11.5703125"/>
  </cols>
  <sheetData>
    <row r="1" spans="1:25" ht="52.5" customHeight="1">
      <c r="A1" s="7" t="s">
        <v>0</v>
      </c>
      <c r="B1" s="13" t="s">
        <v>8</v>
      </c>
      <c r="C1" s="8" t="s">
        <v>9</v>
      </c>
      <c r="D1" s="9"/>
      <c r="E1" s="8" t="s">
        <v>1</v>
      </c>
      <c r="F1" s="8" t="s">
        <v>2</v>
      </c>
      <c r="G1" s="8" t="s">
        <v>3</v>
      </c>
      <c r="H1" s="14" t="s">
        <v>10</v>
      </c>
      <c r="I1" s="8"/>
    </row>
    <row r="2" spans="1:25">
      <c r="B2" s="3"/>
      <c r="C2" s="6"/>
      <c r="D2" s="2"/>
      <c r="E2" t="str">
        <f t="shared" ref="E2:E33" si="0">IF(A2="","",IF(VLOOKUP(A2,ilmoittautuneet,2,0)="","",VLOOKUP(A2,ilmoittautuneet,2,0)))</f>
        <v/>
      </c>
      <c r="F2" t="str">
        <f t="shared" ref="F2:F33" si="1">IF(A2="","",IF(VLOOKUP(A2,ilmoittautuneet,3,)="","",VLOOKUP(A2,ilmoittautuneet,3)))</f>
        <v/>
      </c>
      <c r="G2" t="str">
        <f t="shared" ref="G2:G33" si="2">IF(A2="","",IF(VLOOKUP(A2,ilmoittautuneet,4,)="","",VLOOKUP(A2,ilmoittautuneet,4)))</f>
        <v/>
      </c>
      <c r="H2" s="18" t="str">
        <f t="shared" ref="H2:H65" si="3">IF(C2&lt;&gt;"",C2-VLOOKUP(A2,ilmoittautuneet,5),IF(A2="","",B2-VLOOKUP(A2,ilmoittautuneet,5)))</f>
        <v/>
      </c>
      <c r="I2" s="17"/>
      <c r="J2" s="3"/>
      <c r="K2" s="2"/>
      <c r="M2" s="2"/>
      <c r="O2" s="2"/>
      <c r="Q2" s="2"/>
      <c r="S2" s="2"/>
      <c r="U2" s="2"/>
      <c r="W2" s="2"/>
      <c r="Y2" s="2"/>
    </row>
    <row r="3" spans="1:25">
      <c r="B3" s="3"/>
      <c r="C3" s="6"/>
      <c r="D3" s="2"/>
      <c r="E3" t="str">
        <f t="shared" si="0"/>
        <v/>
      </c>
      <c r="F3" t="str">
        <f t="shared" si="1"/>
        <v/>
      </c>
      <c r="G3" t="str">
        <f t="shared" si="2"/>
        <v/>
      </c>
      <c r="H3" s="18" t="str">
        <f t="shared" si="3"/>
        <v/>
      </c>
      <c r="I3" s="10"/>
      <c r="K3" s="2"/>
      <c r="M3" s="2"/>
      <c r="O3" s="2"/>
      <c r="Q3" s="2"/>
      <c r="S3" s="2"/>
      <c r="U3" s="2"/>
      <c r="W3" s="2"/>
      <c r="Y3" s="2"/>
    </row>
    <row r="4" spans="1:25">
      <c r="B4" s="3"/>
      <c r="C4" s="6"/>
      <c r="D4" s="2"/>
      <c r="E4" t="str">
        <f t="shared" si="0"/>
        <v/>
      </c>
      <c r="F4" t="str">
        <f t="shared" si="1"/>
        <v/>
      </c>
      <c r="G4" t="str">
        <f t="shared" si="2"/>
        <v/>
      </c>
      <c r="H4" s="18" t="str">
        <f t="shared" si="3"/>
        <v/>
      </c>
      <c r="I4" s="10"/>
      <c r="K4" s="2"/>
      <c r="M4" s="2"/>
      <c r="O4" s="2"/>
      <c r="Q4" s="2"/>
      <c r="S4" s="2"/>
      <c r="U4" s="2"/>
      <c r="W4" s="2"/>
      <c r="Y4" s="2"/>
    </row>
    <row r="5" spans="1:25">
      <c r="B5" s="3"/>
      <c r="C5" s="6"/>
      <c r="D5" s="2"/>
      <c r="E5" t="str">
        <f t="shared" si="0"/>
        <v/>
      </c>
      <c r="F5" t="str">
        <f t="shared" si="1"/>
        <v/>
      </c>
      <c r="G5" t="str">
        <f t="shared" si="2"/>
        <v/>
      </c>
      <c r="H5" s="18" t="str">
        <f t="shared" si="3"/>
        <v/>
      </c>
      <c r="I5" s="10"/>
      <c r="K5" s="2"/>
      <c r="M5" s="2"/>
      <c r="O5" s="2"/>
      <c r="Q5" s="2"/>
      <c r="S5" s="2"/>
      <c r="U5" s="2"/>
      <c r="W5" s="2"/>
      <c r="Y5" s="2"/>
    </row>
    <row r="6" spans="1:25">
      <c r="B6" s="3"/>
      <c r="C6" s="6"/>
      <c r="D6" s="2"/>
      <c r="E6" t="str">
        <f t="shared" si="0"/>
        <v/>
      </c>
      <c r="F6" t="str">
        <f t="shared" si="1"/>
        <v/>
      </c>
      <c r="G6" t="str">
        <f t="shared" si="2"/>
        <v/>
      </c>
      <c r="H6" s="18" t="str">
        <f t="shared" si="3"/>
        <v/>
      </c>
      <c r="I6" s="10"/>
      <c r="K6" s="2"/>
      <c r="M6" s="2"/>
      <c r="O6" s="2"/>
      <c r="Q6" s="2"/>
      <c r="S6" s="2"/>
      <c r="U6" s="2"/>
      <c r="W6" s="2"/>
      <c r="Y6" s="2"/>
    </row>
    <row r="7" spans="1:25">
      <c r="B7" s="3"/>
      <c r="C7" s="6"/>
      <c r="D7" s="2"/>
      <c r="E7" t="str">
        <f t="shared" si="0"/>
        <v/>
      </c>
      <c r="F7" t="str">
        <f t="shared" si="1"/>
        <v/>
      </c>
      <c r="G7" t="str">
        <f t="shared" si="2"/>
        <v/>
      </c>
      <c r="H7" s="18" t="str">
        <f t="shared" si="3"/>
        <v/>
      </c>
      <c r="I7" s="10"/>
      <c r="K7" s="2"/>
      <c r="M7" s="2"/>
      <c r="O7" s="2"/>
      <c r="Q7" s="2"/>
      <c r="S7" s="2"/>
      <c r="U7" s="2"/>
      <c r="W7" s="2"/>
      <c r="Y7" s="2"/>
    </row>
    <row r="8" spans="1:25">
      <c r="B8" s="3"/>
      <c r="C8" s="6"/>
      <c r="D8" s="2"/>
      <c r="E8" t="str">
        <f t="shared" si="0"/>
        <v/>
      </c>
      <c r="F8" t="str">
        <f t="shared" si="1"/>
        <v/>
      </c>
      <c r="G8" t="str">
        <f t="shared" si="2"/>
        <v/>
      </c>
      <c r="H8" s="18" t="str">
        <f t="shared" si="3"/>
        <v/>
      </c>
      <c r="I8" s="10"/>
      <c r="K8" s="2"/>
      <c r="M8" s="2"/>
      <c r="O8" s="2"/>
      <c r="Q8" s="2"/>
      <c r="S8" s="2"/>
      <c r="U8" s="2"/>
      <c r="W8" s="2"/>
      <c r="Y8" s="2"/>
    </row>
    <row r="9" spans="1:25">
      <c r="B9" s="3"/>
      <c r="C9" s="6"/>
      <c r="D9" s="2"/>
      <c r="E9" t="str">
        <f t="shared" si="0"/>
        <v/>
      </c>
      <c r="F9" t="str">
        <f t="shared" si="1"/>
        <v/>
      </c>
      <c r="G9" t="str">
        <f t="shared" si="2"/>
        <v/>
      </c>
      <c r="H9" s="18" t="str">
        <f t="shared" si="3"/>
        <v/>
      </c>
      <c r="I9" s="10"/>
      <c r="K9" s="2"/>
      <c r="M9" s="2"/>
      <c r="O9" s="2"/>
      <c r="Q9" s="2"/>
      <c r="S9" s="2"/>
      <c r="U9" s="2"/>
      <c r="W9" s="2"/>
      <c r="Y9" s="2"/>
    </row>
    <row r="10" spans="1:25">
      <c r="B10" s="3"/>
      <c r="C10" s="6"/>
      <c r="D10" s="2"/>
      <c r="E10" t="str">
        <f t="shared" si="0"/>
        <v/>
      </c>
      <c r="F10" t="str">
        <f t="shared" si="1"/>
        <v/>
      </c>
      <c r="G10" t="str">
        <f t="shared" si="2"/>
        <v/>
      </c>
      <c r="H10" s="18" t="str">
        <f t="shared" si="3"/>
        <v/>
      </c>
      <c r="I10" s="10"/>
      <c r="K10" s="2"/>
      <c r="M10" s="2"/>
      <c r="O10" s="2"/>
      <c r="Q10" s="2"/>
      <c r="S10" s="2"/>
      <c r="U10" s="2"/>
      <c r="W10" s="2"/>
      <c r="Y10" s="2"/>
    </row>
    <row r="11" spans="1:25">
      <c r="B11" s="3"/>
      <c r="C11" s="6"/>
      <c r="D11" s="2"/>
      <c r="E11" t="str">
        <f t="shared" si="0"/>
        <v/>
      </c>
      <c r="F11" t="str">
        <f t="shared" si="1"/>
        <v/>
      </c>
      <c r="G11" t="str">
        <f t="shared" si="2"/>
        <v/>
      </c>
      <c r="H11" s="18" t="str">
        <f t="shared" si="3"/>
        <v/>
      </c>
      <c r="I11" s="10"/>
      <c r="K11" s="2"/>
      <c r="M11" s="2"/>
      <c r="O11" s="2"/>
      <c r="Q11" s="2"/>
      <c r="S11" s="2"/>
      <c r="U11" s="2"/>
      <c r="W11" s="2"/>
      <c r="Y11" s="2"/>
    </row>
    <row r="12" spans="1:25">
      <c r="B12" s="3"/>
      <c r="C12" s="6"/>
      <c r="D12" s="2"/>
      <c r="E12" t="str">
        <f t="shared" si="0"/>
        <v/>
      </c>
      <c r="F12" t="str">
        <f t="shared" si="1"/>
        <v/>
      </c>
      <c r="G12" t="str">
        <f t="shared" si="2"/>
        <v/>
      </c>
      <c r="H12" s="18" t="str">
        <f t="shared" si="3"/>
        <v/>
      </c>
      <c r="I12" s="10"/>
      <c r="K12" s="2"/>
      <c r="M12" s="2"/>
      <c r="O12" s="2"/>
      <c r="Q12" s="2"/>
      <c r="S12" s="2"/>
      <c r="U12" s="2"/>
      <c r="W12" s="2"/>
      <c r="Y12" s="2"/>
    </row>
    <row r="13" spans="1:25">
      <c r="B13" s="3"/>
      <c r="C13" s="6"/>
      <c r="D13" s="2"/>
      <c r="E13" t="str">
        <f t="shared" si="0"/>
        <v/>
      </c>
      <c r="F13" t="str">
        <f t="shared" si="1"/>
        <v/>
      </c>
      <c r="G13" t="str">
        <f t="shared" si="2"/>
        <v/>
      </c>
      <c r="H13" s="18" t="str">
        <f t="shared" si="3"/>
        <v/>
      </c>
      <c r="I13" s="10"/>
      <c r="K13" s="2"/>
      <c r="M13" s="2"/>
      <c r="O13" s="2"/>
      <c r="Q13" s="2"/>
      <c r="S13" s="2"/>
      <c r="U13" s="2"/>
      <c r="W13" s="2"/>
      <c r="Y13" s="2"/>
    </row>
    <row r="14" spans="1:25">
      <c r="B14" s="3"/>
      <c r="C14" s="6"/>
      <c r="D14" s="2"/>
      <c r="E14" t="str">
        <f t="shared" si="0"/>
        <v/>
      </c>
      <c r="F14" t="str">
        <f t="shared" si="1"/>
        <v/>
      </c>
      <c r="G14" t="str">
        <f t="shared" si="2"/>
        <v/>
      </c>
      <c r="H14" s="18" t="str">
        <f t="shared" si="3"/>
        <v/>
      </c>
      <c r="I14" s="10"/>
      <c r="K14" s="2"/>
      <c r="M14" s="2"/>
      <c r="O14" s="2"/>
      <c r="Q14" s="2"/>
      <c r="S14" s="2"/>
      <c r="U14" s="2"/>
      <c r="W14" s="2"/>
      <c r="Y14" s="2"/>
    </row>
    <row r="15" spans="1:25">
      <c r="B15" s="3"/>
      <c r="C15" s="6"/>
      <c r="D15" s="2"/>
      <c r="E15" t="str">
        <f t="shared" si="0"/>
        <v/>
      </c>
      <c r="F15" t="str">
        <f t="shared" si="1"/>
        <v/>
      </c>
      <c r="G15" t="str">
        <f t="shared" si="2"/>
        <v/>
      </c>
      <c r="H15" s="18" t="str">
        <f t="shared" si="3"/>
        <v/>
      </c>
      <c r="I15" s="10"/>
      <c r="K15" s="2"/>
      <c r="M15" s="2"/>
      <c r="O15" s="2"/>
      <c r="Q15" s="2"/>
      <c r="S15" s="2"/>
      <c r="U15" s="2"/>
      <c r="W15" s="2"/>
      <c r="Y15" s="2"/>
    </row>
    <row r="16" spans="1:25">
      <c r="B16" s="3"/>
      <c r="C16" s="6"/>
      <c r="D16" s="2"/>
      <c r="E16" t="str">
        <f t="shared" si="0"/>
        <v/>
      </c>
      <c r="F16" t="str">
        <f t="shared" si="1"/>
        <v/>
      </c>
      <c r="G16" t="str">
        <f t="shared" si="2"/>
        <v/>
      </c>
      <c r="H16" s="18" t="str">
        <f t="shared" si="3"/>
        <v/>
      </c>
      <c r="I16" s="10"/>
      <c r="K16" s="2"/>
      <c r="M16" s="2"/>
      <c r="O16" s="2"/>
      <c r="Q16" s="2"/>
      <c r="S16" s="2"/>
      <c r="U16" s="2"/>
      <c r="W16" s="2"/>
      <c r="Y16" s="2"/>
    </row>
    <row r="17" spans="2:25">
      <c r="B17" s="3"/>
      <c r="C17" s="6"/>
      <c r="D17" s="2"/>
      <c r="E17" t="str">
        <f t="shared" si="0"/>
        <v/>
      </c>
      <c r="F17" t="str">
        <f t="shared" si="1"/>
        <v/>
      </c>
      <c r="G17" t="str">
        <f t="shared" si="2"/>
        <v/>
      </c>
      <c r="H17" s="18" t="str">
        <f t="shared" si="3"/>
        <v/>
      </c>
      <c r="I17" s="10"/>
      <c r="K17" s="2"/>
      <c r="M17" s="2"/>
      <c r="O17" s="2"/>
      <c r="Q17" s="2"/>
      <c r="S17" s="2"/>
      <c r="U17" s="2"/>
      <c r="W17" s="2"/>
      <c r="Y17" s="2"/>
    </row>
    <row r="18" spans="2:25">
      <c r="B18" s="3"/>
      <c r="C18" s="6"/>
      <c r="D18" s="2"/>
      <c r="E18" t="str">
        <f t="shared" si="0"/>
        <v/>
      </c>
      <c r="F18" t="str">
        <f t="shared" si="1"/>
        <v/>
      </c>
      <c r="G18" t="str">
        <f t="shared" si="2"/>
        <v/>
      </c>
      <c r="H18" s="18" t="str">
        <f t="shared" si="3"/>
        <v/>
      </c>
      <c r="I18" s="10"/>
      <c r="K18" s="2"/>
      <c r="M18" s="2"/>
      <c r="O18" s="2"/>
      <c r="Q18" s="2"/>
      <c r="S18" s="2"/>
      <c r="U18" s="2"/>
      <c r="W18" s="2"/>
      <c r="Y18" s="2"/>
    </row>
    <row r="19" spans="2:25">
      <c r="B19" s="3"/>
      <c r="C19" s="6"/>
      <c r="D19" s="2"/>
      <c r="E19" t="str">
        <f t="shared" si="0"/>
        <v/>
      </c>
      <c r="F19" t="str">
        <f t="shared" si="1"/>
        <v/>
      </c>
      <c r="G19" t="str">
        <f t="shared" si="2"/>
        <v/>
      </c>
      <c r="H19" s="18" t="str">
        <f t="shared" si="3"/>
        <v/>
      </c>
      <c r="I19" s="10"/>
      <c r="K19" s="2"/>
      <c r="M19" s="2"/>
      <c r="O19" s="2"/>
      <c r="Q19" s="2"/>
      <c r="S19" s="2"/>
      <c r="U19" s="2"/>
      <c r="W19" s="2"/>
      <c r="Y19" s="2"/>
    </row>
    <row r="20" spans="2:25">
      <c r="B20" s="3"/>
      <c r="C20" s="6"/>
      <c r="D20" s="2"/>
      <c r="E20" t="str">
        <f t="shared" si="0"/>
        <v/>
      </c>
      <c r="F20" t="str">
        <f t="shared" si="1"/>
        <v/>
      </c>
      <c r="G20" t="str">
        <f t="shared" si="2"/>
        <v/>
      </c>
      <c r="H20" s="18" t="str">
        <f t="shared" si="3"/>
        <v/>
      </c>
      <c r="I20" s="10"/>
      <c r="K20" s="2"/>
      <c r="M20" s="2"/>
      <c r="O20" s="2"/>
      <c r="Q20" s="2"/>
      <c r="S20" s="2"/>
      <c r="U20" s="2"/>
      <c r="W20" s="2"/>
      <c r="Y20" s="2"/>
    </row>
    <row r="21" spans="2:25">
      <c r="B21" s="3"/>
      <c r="C21" s="6"/>
      <c r="D21" s="2"/>
      <c r="E21" t="str">
        <f t="shared" si="0"/>
        <v/>
      </c>
      <c r="F21" t="str">
        <f t="shared" si="1"/>
        <v/>
      </c>
      <c r="G21" t="str">
        <f t="shared" si="2"/>
        <v/>
      </c>
      <c r="H21" s="18" t="str">
        <f t="shared" si="3"/>
        <v/>
      </c>
      <c r="I21" s="10"/>
      <c r="K21" s="2"/>
      <c r="M21" s="2"/>
      <c r="O21" s="2"/>
      <c r="Q21" s="2"/>
      <c r="S21" s="2"/>
      <c r="U21" s="2"/>
      <c r="W21" s="2"/>
      <c r="Y21" s="2"/>
    </row>
    <row r="22" spans="2:25">
      <c r="B22" s="3"/>
      <c r="C22" s="6"/>
      <c r="D22" s="2"/>
      <c r="E22" t="str">
        <f t="shared" si="0"/>
        <v/>
      </c>
      <c r="F22" t="str">
        <f t="shared" si="1"/>
        <v/>
      </c>
      <c r="G22" t="str">
        <f t="shared" si="2"/>
        <v/>
      </c>
      <c r="H22" s="18" t="str">
        <f t="shared" si="3"/>
        <v/>
      </c>
      <c r="I22" s="10"/>
      <c r="K22" s="2"/>
      <c r="M22" s="2"/>
      <c r="O22" s="2"/>
      <c r="Q22" s="2"/>
      <c r="S22" s="2"/>
      <c r="U22" s="2"/>
      <c r="W22" s="2"/>
      <c r="Y22" s="2"/>
    </row>
    <row r="23" spans="2:25">
      <c r="B23" s="3"/>
      <c r="C23" s="6"/>
      <c r="D23" s="2"/>
      <c r="E23" t="str">
        <f t="shared" si="0"/>
        <v/>
      </c>
      <c r="F23" t="str">
        <f t="shared" si="1"/>
        <v/>
      </c>
      <c r="G23" t="str">
        <f t="shared" si="2"/>
        <v/>
      </c>
      <c r="H23" s="18" t="str">
        <f t="shared" si="3"/>
        <v/>
      </c>
      <c r="I23" s="10"/>
      <c r="K23" s="2"/>
      <c r="M23" s="2"/>
      <c r="O23" s="2"/>
      <c r="Q23" s="2"/>
      <c r="S23" s="2"/>
      <c r="U23" s="2"/>
      <c r="W23" s="2"/>
      <c r="Y23" s="2"/>
    </row>
    <row r="24" spans="2:25">
      <c r="B24" s="3"/>
      <c r="C24" s="6"/>
      <c r="D24" s="2"/>
      <c r="E24" t="str">
        <f t="shared" si="0"/>
        <v/>
      </c>
      <c r="F24" t="str">
        <f t="shared" si="1"/>
        <v/>
      </c>
      <c r="G24" t="str">
        <f t="shared" si="2"/>
        <v/>
      </c>
      <c r="H24" s="18" t="str">
        <f t="shared" si="3"/>
        <v/>
      </c>
      <c r="I24" s="10"/>
      <c r="K24" s="2"/>
      <c r="M24" s="2"/>
      <c r="O24" s="2"/>
      <c r="Q24" s="2"/>
      <c r="S24" s="2"/>
      <c r="U24" s="2"/>
      <c r="W24" s="2"/>
      <c r="Y24" s="2"/>
    </row>
    <row r="25" spans="2:25">
      <c r="B25" s="3"/>
      <c r="C25" s="6"/>
      <c r="D25" s="2"/>
      <c r="E25" t="str">
        <f t="shared" si="0"/>
        <v/>
      </c>
      <c r="F25" t="str">
        <f t="shared" si="1"/>
        <v/>
      </c>
      <c r="G25" t="str">
        <f t="shared" si="2"/>
        <v/>
      </c>
      <c r="H25" s="18" t="str">
        <f t="shared" si="3"/>
        <v/>
      </c>
      <c r="I25" s="10"/>
      <c r="K25" s="2"/>
      <c r="M25" s="2"/>
      <c r="O25" s="2"/>
      <c r="Q25" s="2"/>
      <c r="S25" s="2"/>
      <c r="U25" s="2"/>
      <c r="W25" s="2"/>
      <c r="Y25" s="2"/>
    </row>
    <row r="26" spans="2:25">
      <c r="B26" s="3"/>
      <c r="C26" s="6"/>
      <c r="D26" s="2"/>
      <c r="E26" t="str">
        <f t="shared" si="0"/>
        <v/>
      </c>
      <c r="F26" t="str">
        <f t="shared" si="1"/>
        <v/>
      </c>
      <c r="G26" t="str">
        <f t="shared" si="2"/>
        <v/>
      </c>
      <c r="H26" s="18" t="str">
        <f t="shared" si="3"/>
        <v/>
      </c>
      <c r="I26" s="10"/>
      <c r="K26" s="2"/>
      <c r="M26" s="2"/>
      <c r="O26" s="2"/>
      <c r="Q26" s="2"/>
      <c r="S26" s="2"/>
      <c r="U26" s="2"/>
      <c r="W26" s="2"/>
      <c r="Y26" s="2"/>
    </row>
    <row r="27" spans="2:25">
      <c r="B27" s="3"/>
      <c r="C27" s="6"/>
      <c r="D27" s="2"/>
      <c r="E27" t="str">
        <f t="shared" si="0"/>
        <v/>
      </c>
      <c r="F27" t="str">
        <f t="shared" si="1"/>
        <v/>
      </c>
      <c r="G27" t="str">
        <f t="shared" si="2"/>
        <v/>
      </c>
      <c r="H27" s="18" t="str">
        <f t="shared" si="3"/>
        <v/>
      </c>
      <c r="I27" s="10"/>
      <c r="K27" s="2"/>
      <c r="M27" s="2"/>
      <c r="O27" s="2"/>
      <c r="Q27" s="2"/>
      <c r="S27" s="2"/>
      <c r="U27" s="2"/>
      <c r="W27" s="2"/>
      <c r="Y27" s="2"/>
    </row>
    <row r="28" spans="2:25">
      <c r="B28" s="3"/>
      <c r="C28" s="6"/>
      <c r="D28" s="2"/>
      <c r="E28" t="str">
        <f t="shared" si="0"/>
        <v/>
      </c>
      <c r="F28" t="str">
        <f t="shared" si="1"/>
        <v/>
      </c>
      <c r="G28" t="str">
        <f t="shared" si="2"/>
        <v/>
      </c>
      <c r="H28" s="18" t="str">
        <f t="shared" si="3"/>
        <v/>
      </c>
      <c r="I28" s="10"/>
      <c r="K28" s="2"/>
      <c r="M28" s="2"/>
      <c r="O28" s="2"/>
      <c r="Q28" s="2"/>
      <c r="S28" s="2"/>
      <c r="U28" s="2"/>
      <c r="W28" s="2"/>
      <c r="Y28" s="2"/>
    </row>
    <row r="29" spans="2:25">
      <c r="B29" s="3"/>
      <c r="C29" s="6"/>
      <c r="D29" s="2"/>
      <c r="E29" t="str">
        <f t="shared" si="0"/>
        <v/>
      </c>
      <c r="F29" t="str">
        <f t="shared" si="1"/>
        <v/>
      </c>
      <c r="G29" t="str">
        <f t="shared" si="2"/>
        <v/>
      </c>
      <c r="H29" s="18" t="str">
        <f t="shared" si="3"/>
        <v/>
      </c>
      <c r="I29" s="10"/>
      <c r="K29" s="2"/>
      <c r="M29" s="2"/>
      <c r="O29" s="2"/>
      <c r="Q29" s="2"/>
      <c r="S29" s="2"/>
      <c r="U29" s="2"/>
      <c r="W29" s="2"/>
      <c r="Y29" s="2"/>
    </row>
    <row r="30" spans="2:25">
      <c r="B30" s="3"/>
      <c r="C30" s="6"/>
      <c r="D30" s="2"/>
      <c r="E30" t="str">
        <f t="shared" si="0"/>
        <v/>
      </c>
      <c r="F30" t="str">
        <f t="shared" si="1"/>
        <v/>
      </c>
      <c r="G30" t="str">
        <f t="shared" si="2"/>
        <v/>
      </c>
      <c r="H30" s="18" t="str">
        <f t="shared" si="3"/>
        <v/>
      </c>
      <c r="K30" s="2"/>
      <c r="M30" s="2"/>
      <c r="O30" s="2"/>
      <c r="Q30" s="2"/>
      <c r="S30" s="2"/>
      <c r="U30" s="2"/>
      <c r="W30" s="2"/>
      <c r="Y30" s="2"/>
    </row>
    <row r="31" spans="2:25">
      <c r="B31" s="3"/>
      <c r="C31" s="6"/>
      <c r="D31" s="2"/>
      <c r="E31" t="str">
        <f t="shared" si="0"/>
        <v/>
      </c>
      <c r="F31" t="str">
        <f t="shared" si="1"/>
        <v/>
      </c>
      <c r="G31" t="str">
        <f t="shared" si="2"/>
        <v/>
      </c>
      <c r="H31" s="18" t="str">
        <f t="shared" si="3"/>
        <v/>
      </c>
      <c r="K31" s="2"/>
      <c r="M31" s="2"/>
      <c r="O31" s="2"/>
      <c r="Q31" s="2"/>
      <c r="U31" s="2"/>
      <c r="Y31" s="2"/>
    </row>
    <row r="32" spans="2:25">
      <c r="B32" s="3"/>
      <c r="C32" s="6"/>
      <c r="D32" s="2"/>
      <c r="E32" t="str">
        <f t="shared" si="0"/>
        <v/>
      </c>
      <c r="F32" t="str">
        <f t="shared" si="1"/>
        <v/>
      </c>
      <c r="G32" t="str">
        <f t="shared" si="2"/>
        <v/>
      </c>
      <c r="H32" s="18" t="str">
        <f t="shared" si="3"/>
        <v/>
      </c>
      <c r="K32" s="2"/>
      <c r="M32" s="2"/>
      <c r="O32" s="2"/>
      <c r="Q32" s="2"/>
      <c r="U32" s="2"/>
    </row>
    <row r="33" spans="2:17">
      <c r="B33" s="3"/>
      <c r="C33" s="6"/>
      <c r="D33" s="2"/>
      <c r="E33" t="str">
        <f t="shared" si="0"/>
        <v/>
      </c>
      <c r="F33" t="str">
        <f t="shared" si="1"/>
        <v/>
      </c>
      <c r="G33" t="str">
        <f t="shared" si="2"/>
        <v/>
      </c>
      <c r="H33" s="18" t="str">
        <f t="shared" si="3"/>
        <v/>
      </c>
      <c r="K33" s="2"/>
      <c r="M33" s="2"/>
      <c r="O33" s="2"/>
      <c r="Q33" s="2"/>
    </row>
    <row r="34" spans="2:17">
      <c r="B34" s="3"/>
      <c r="C34" s="6"/>
      <c r="D34" s="2"/>
      <c r="E34" t="str">
        <f t="shared" ref="E34:E65" si="4">IF(A34="","",IF(VLOOKUP(A34,ilmoittautuneet,2,0)="","",VLOOKUP(A34,ilmoittautuneet,2,0)))</f>
        <v/>
      </c>
      <c r="F34" t="str">
        <f t="shared" ref="F34:F65" si="5">IF(A34="","",IF(VLOOKUP(A34,ilmoittautuneet,3,)="","",VLOOKUP(A34,ilmoittautuneet,3)))</f>
        <v/>
      </c>
      <c r="G34" t="str">
        <f t="shared" ref="G34:G65" si="6">IF(A34="","",IF(VLOOKUP(A34,ilmoittautuneet,4,)="","",VLOOKUP(A34,ilmoittautuneet,4)))</f>
        <v/>
      </c>
      <c r="H34" s="18" t="str">
        <f t="shared" si="3"/>
        <v/>
      </c>
      <c r="K34" s="2"/>
      <c r="M34" s="2"/>
      <c r="O34" s="2"/>
      <c r="Q34" s="2"/>
    </row>
    <row r="35" spans="2:17">
      <c r="B35" s="3"/>
      <c r="C35" s="6"/>
      <c r="D35" s="2"/>
      <c r="E35" t="str">
        <f t="shared" si="4"/>
        <v/>
      </c>
      <c r="F35" t="str">
        <f t="shared" si="5"/>
        <v/>
      </c>
      <c r="G35" t="str">
        <f t="shared" si="6"/>
        <v/>
      </c>
      <c r="H35" s="18" t="str">
        <f t="shared" si="3"/>
        <v/>
      </c>
      <c r="K35" s="2"/>
      <c r="M35" s="2"/>
      <c r="O35" s="2"/>
      <c r="Q35" s="2"/>
    </row>
    <row r="36" spans="2:17">
      <c r="B36" s="3"/>
      <c r="C36" s="6"/>
      <c r="D36" s="2"/>
      <c r="E36" t="str">
        <f t="shared" si="4"/>
        <v/>
      </c>
      <c r="F36" t="str">
        <f t="shared" si="5"/>
        <v/>
      </c>
      <c r="G36" t="str">
        <f t="shared" si="6"/>
        <v/>
      </c>
      <c r="H36" s="18" t="str">
        <f t="shared" si="3"/>
        <v/>
      </c>
      <c r="K36" s="2"/>
      <c r="M36" s="2"/>
      <c r="O36" s="2"/>
      <c r="Q36" s="2"/>
    </row>
    <row r="37" spans="2:17">
      <c r="B37" s="3"/>
      <c r="C37" s="6"/>
      <c r="D37" s="2"/>
      <c r="E37" t="str">
        <f t="shared" si="4"/>
        <v/>
      </c>
      <c r="F37" t="str">
        <f t="shared" si="5"/>
        <v/>
      </c>
      <c r="G37" t="str">
        <f t="shared" si="6"/>
        <v/>
      </c>
      <c r="H37" s="18" t="str">
        <f t="shared" si="3"/>
        <v/>
      </c>
      <c r="K37" s="2"/>
      <c r="M37" s="2"/>
      <c r="O37" s="2"/>
      <c r="Q37" s="2"/>
    </row>
    <row r="38" spans="2:17">
      <c r="B38" s="3"/>
      <c r="C38" s="6"/>
      <c r="D38" s="2"/>
      <c r="E38" t="str">
        <f t="shared" si="4"/>
        <v/>
      </c>
      <c r="F38" t="str">
        <f t="shared" si="5"/>
        <v/>
      </c>
      <c r="G38" t="str">
        <f t="shared" si="6"/>
        <v/>
      </c>
      <c r="H38" s="18" t="str">
        <f t="shared" si="3"/>
        <v/>
      </c>
      <c r="K38" s="2"/>
      <c r="M38" s="2"/>
      <c r="O38" s="2"/>
      <c r="Q38" s="2"/>
    </row>
    <row r="39" spans="2:17">
      <c r="B39" s="3"/>
      <c r="C39" s="6"/>
      <c r="D39" s="2"/>
      <c r="E39" t="str">
        <f t="shared" si="4"/>
        <v/>
      </c>
      <c r="F39" t="str">
        <f t="shared" si="5"/>
        <v/>
      </c>
      <c r="G39" t="str">
        <f t="shared" si="6"/>
        <v/>
      </c>
      <c r="H39" s="18" t="str">
        <f t="shared" si="3"/>
        <v/>
      </c>
      <c r="K39" s="2"/>
      <c r="M39" s="2"/>
      <c r="O39" s="2"/>
      <c r="Q39" s="2"/>
    </row>
    <row r="40" spans="2:17">
      <c r="B40" s="3"/>
      <c r="C40" s="6"/>
      <c r="D40" s="2"/>
      <c r="E40" t="str">
        <f t="shared" si="4"/>
        <v/>
      </c>
      <c r="F40" t="str">
        <f t="shared" si="5"/>
        <v/>
      </c>
      <c r="G40" t="str">
        <f t="shared" si="6"/>
        <v/>
      </c>
      <c r="H40" s="18" t="str">
        <f t="shared" si="3"/>
        <v/>
      </c>
      <c r="K40" s="2"/>
      <c r="M40" s="2"/>
      <c r="O40" s="2"/>
      <c r="Q40" s="2"/>
    </row>
    <row r="41" spans="2:17">
      <c r="B41" s="3"/>
      <c r="C41" s="6"/>
      <c r="D41" s="2"/>
      <c r="E41" t="str">
        <f t="shared" si="4"/>
        <v/>
      </c>
      <c r="F41" t="str">
        <f t="shared" si="5"/>
        <v/>
      </c>
      <c r="G41" t="str">
        <f t="shared" si="6"/>
        <v/>
      </c>
      <c r="H41" s="18" t="str">
        <f t="shared" si="3"/>
        <v/>
      </c>
      <c r="K41" s="2"/>
      <c r="M41" s="2"/>
      <c r="O41" s="2"/>
      <c r="Q41" s="2"/>
    </row>
    <row r="42" spans="2:17">
      <c r="B42" s="3"/>
      <c r="C42" s="6"/>
      <c r="D42" s="2"/>
      <c r="E42" t="str">
        <f t="shared" si="4"/>
        <v/>
      </c>
      <c r="F42" t="str">
        <f t="shared" si="5"/>
        <v/>
      </c>
      <c r="G42" t="str">
        <f t="shared" si="6"/>
        <v/>
      </c>
      <c r="H42" s="18" t="str">
        <f t="shared" si="3"/>
        <v/>
      </c>
      <c r="K42" s="2"/>
      <c r="M42" s="2"/>
      <c r="O42" s="2"/>
      <c r="Q42" s="2"/>
    </row>
    <row r="43" spans="2:17">
      <c r="B43" s="3"/>
      <c r="C43" s="6"/>
      <c r="D43" s="2"/>
      <c r="E43" t="str">
        <f t="shared" si="4"/>
        <v/>
      </c>
      <c r="F43" t="str">
        <f t="shared" si="5"/>
        <v/>
      </c>
      <c r="G43" t="str">
        <f t="shared" si="6"/>
        <v/>
      </c>
      <c r="H43" s="18" t="str">
        <f t="shared" si="3"/>
        <v/>
      </c>
      <c r="K43" s="2"/>
      <c r="M43" s="2"/>
      <c r="O43" s="2"/>
      <c r="Q43" s="2"/>
    </row>
    <row r="44" spans="2:17">
      <c r="B44" s="3"/>
      <c r="C44" s="6"/>
      <c r="D44" s="2"/>
      <c r="E44" t="str">
        <f t="shared" si="4"/>
        <v/>
      </c>
      <c r="F44" t="str">
        <f t="shared" si="5"/>
        <v/>
      </c>
      <c r="G44" t="str">
        <f t="shared" si="6"/>
        <v/>
      </c>
      <c r="H44" s="18" t="str">
        <f t="shared" si="3"/>
        <v/>
      </c>
      <c r="K44" s="2"/>
      <c r="M44" s="2"/>
      <c r="O44" s="2"/>
      <c r="Q44" s="2"/>
    </row>
    <row r="45" spans="2:17">
      <c r="B45" s="3"/>
      <c r="C45" s="6"/>
      <c r="D45" s="2"/>
      <c r="E45" t="str">
        <f t="shared" si="4"/>
        <v/>
      </c>
      <c r="F45" t="str">
        <f t="shared" si="5"/>
        <v/>
      </c>
      <c r="G45" t="str">
        <f t="shared" si="6"/>
        <v/>
      </c>
      <c r="H45" s="18" t="str">
        <f t="shared" si="3"/>
        <v/>
      </c>
      <c r="K45" s="2"/>
      <c r="M45" s="2"/>
      <c r="O45" s="2"/>
      <c r="Q45" s="2"/>
    </row>
    <row r="46" spans="2:17">
      <c r="B46" s="3"/>
      <c r="C46" s="6"/>
      <c r="D46" s="2"/>
      <c r="E46" t="str">
        <f t="shared" si="4"/>
        <v/>
      </c>
      <c r="F46" t="str">
        <f t="shared" si="5"/>
        <v/>
      </c>
      <c r="G46" t="str">
        <f t="shared" si="6"/>
        <v/>
      </c>
      <c r="H46" s="18" t="str">
        <f t="shared" si="3"/>
        <v/>
      </c>
      <c r="K46" s="2"/>
      <c r="M46" s="2"/>
      <c r="O46" s="2"/>
      <c r="Q46" s="2"/>
    </row>
    <row r="47" spans="2:17">
      <c r="B47" s="3"/>
      <c r="C47" s="6"/>
      <c r="D47" s="2"/>
      <c r="E47" t="str">
        <f t="shared" si="4"/>
        <v/>
      </c>
      <c r="F47" t="str">
        <f t="shared" si="5"/>
        <v/>
      </c>
      <c r="G47" t="str">
        <f t="shared" si="6"/>
        <v/>
      </c>
      <c r="H47" s="18" t="str">
        <f t="shared" si="3"/>
        <v/>
      </c>
      <c r="K47" s="2"/>
      <c r="M47" s="2"/>
      <c r="O47" s="2"/>
      <c r="Q47" s="2"/>
    </row>
    <row r="48" spans="2:17">
      <c r="B48" s="3"/>
      <c r="C48" s="6"/>
      <c r="D48" s="2"/>
      <c r="E48" t="str">
        <f t="shared" si="4"/>
        <v/>
      </c>
      <c r="F48" t="str">
        <f t="shared" si="5"/>
        <v/>
      </c>
      <c r="G48" t="str">
        <f t="shared" si="6"/>
        <v/>
      </c>
      <c r="H48" s="18" t="str">
        <f t="shared" si="3"/>
        <v/>
      </c>
      <c r="K48" s="2"/>
      <c r="M48" s="2"/>
      <c r="O48" s="2"/>
      <c r="Q48" s="2"/>
    </row>
    <row r="49" spans="2:17">
      <c r="B49" s="3"/>
      <c r="C49" s="6"/>
      <c r="D49" s="2"/>
      <c r="E49" t="str">
        <f t="shared" si="4"/>
        <v/>
      </c>
      <c r="F49" t="str">
        <f t="shared" si="5"/>
        <v/>
      </c>
      <c r="G49" t="str">
        <f t="shared" si="6"/>
        <v/>
      </c>
      <c r="H49" s="18" t="str">
        <f t="shared" si="3"/>
        <v/>
      </c>
      <c r="K49" s="2"/>
      <c r="M49" s="2"/>
      <c r="O49" s="2"/>
      <c r="Q49" s="2"/>
    </row>
    <row r="50" spans="2:17">
      <c r="B50" s="3"/>
      <c r="C50" s="6"/>
      <c r="D50" s="2"/>
      <c r="E50" t="str">
        <f t="shared" si="4"/>
        <v/>
      </c>
      <c r="F50" t="str">
        <f t="shared" si="5"/>
        <v/>
      </c>
      <c r="G50" t="str">
        <f t="shared" si="6"/>
        <v/>
      </c>
      <c r="H50" s="18" t="str">
        <f t="shared" si="3"/>
        <v/>
      </c>
      <c r="K50" s="2"/>
      <c r="M50" s="2"/>
      <c r="O50" s="2"/>
      <c r="Q50" s="2"/>
    </row>
    <row r="51" spans="2:17">
      <c r="B51" s="3"/>
      <c r="C51" s="6"/>
      <c r="D51" s="2"/>
      <c r="E51" t="str">
        <f t="shared" si="4"/>
        <v/>
      </c>
      <c r="F51" t="str">
        <f t="shared" si="5"/>
        <v/>
      </c>
      <c r="G51" t="str">
        <f t="shared" si="6"/>
        <v/>
      </c>
      <c r="H51" s="18" t="str">
        <f t="shared" si="3"/>
        <v/>
      </c>
      <c r="K51" s="2"/>
      <c r="M51" s="2"/>
      <c r="O51" s="2"/>
      <c r="Q51" s="2"/>
    </row>
    <row r="52" spans="2:17">
      <c r="B52" s="3"/>
      <c r="C52" s="6"/>
      <c r="E52" t="str">
        <f t="shared" si="4"/>
        <v/>
      </c>
      <c r="F52" t="str">
        <f t="shared" si="5"/>
        <v/>
      </c>
      <c r="G52" t="str">
        <f t="shared" si="6"/>
        <v/>
      </c>
      <c r="H52" s="18" t="str">
        <f t="shared" si="3"/>
        <v/>
      </c>
    </row>
    <row r="53" spans="2:17">
      <c r="B53" s="3"/>
      <c r="C53" s="6"/>
      <c r="E53" t="str">
        <f t="shared" si="4"/>
        <v/>
      </c>
      <c r="F53" t="str">
        <f t="shared" si="5"/>
        <v/>
      </c>
      <c r="G53" t="str">
        <f t="shared" si="6"/>
        <v/>
      </c>
      <c r="H53" s="18" t="str">
        <f t="shared" si="3"/>
        <v/>
      </c>
    </row>
    <row r="54" spans="2:17">
      <c r="B54" s="3"/>
      <c r="C54" s="6"/>
      <c r="E54" t="str">
        <f t="shared" si="4"/>
        <v/>
      </c>
      <c r="F54" t="str">
        <f t="shared" si="5"/>
        <v/>
      </c>
      <c r="G54" t="str">
        <f t="shared" si="6"/>
        <v/>
      </c>
      <c r="H54" s="18" t="str">
        <f t="shared" si="3"/>
        <v/>
      </c>
    </row>
    <row r="55" spans="2:17">
      <c r="B55" s="3"/>
      <c r="C55" s="6"/>
      <c r="E55" t="str">
        <f t="shared" si="4"/>
        <v/>
      </c>
      <c r="F55" t="str">
        <f t="shared" si="5"/>
        <v/>
      </c>
      <c r="G55" t="str">
        <f t="shared" si="6"/>
        <v/>
      </c>
      <c r="H55" s="18" t="str">
        <f t="shared" si="3"/>
        <v/>
      </c>
    </row>
    <row r="56" spans="2:17">
      <c r="B56" s="3"/>
      <c r="C56" s="6"/>
      <c r="E56" t="str">
        <f t="shared" si="4"/>
        <v/>
      </c>
      <c r="F56" t="str">
        <f t="shared" si="5"/>
        <v/>
      </c>
      <c r="G56" t="str">
        <f t="shared" si="6"/>
        <v/>
      </c>
      <c r="H56" s="18" t="str">
        <f t="shared" si="3"/>
        <v/>
      </c>
    </row>
    <row r="57" spans="2:17">
      <c r="B57" s="3"/>
      <c r="C57" s="6"/>
      <c r="E57" t="str">
        <f t="shared" si="4"/>
        <v/>
      </c>
      <c r="F57" t="str">
        <f t="shared" si="5"/>
        <v/>
      </c>
      <c r="G57" t="str">
        <f t="shared" si="6"/>
        <v/>
      </c>
      <c r="H57" s="18" t="str">
        <f t="shared" si="3"/>
        <v/>
      </c>
    </row>
    <row r="58" spans="2:17">
      <c r="B58" s="3"/>
      <c r="C58" s="6"/>
      <c r="E58" t="str">
        <f t="shared" si="4"/>
        <v/>
      </c>
      <c r="F58" t="str">
        <f t="shared" si="5"/>
        <v/>
      </c>
      <c r="G58" t="str">
        <f t="shared" si="6"/>
        <v/>
      </c>
      <c r="H58" s="18" t="str">
        <f t="shared" si="3"/>
        <v/>
      </c>
    </row>
    <row r="59" spans="2:17">
      <c r="B59" s="3"/>
      <c r="C59" s="6"/>
      <c r="E59" t="str">
        <f t="shared" si="4"/>
        <v/>
      </c>
      <c r="F59" t="str">
        <f t="shared" si="5"/>
        <v/>
      </c>
      <c r="G59" t="str">
        <f t="shared" si="6"/>
        <v/>
      </c>
      <c r="H59" s="18" t="str">
        <f t="shared" si="3"/>
        <v/>
      </c>
    </row>
    <row r="60" spans="2:17">
      <c r="B60" s="3"/>
      <c r="C60" s="6"/>
      <c r="E60" t="str">
        <f t="shared" si="4"/>
        <v/>
      </c>
      <c r="F60" t="str">
        <f t="shared" si="5"/>
        <v/>
      </c>
      <c r="G60" t="str">
        <f t="shared" si="6"/>
        <v/>
      </c>
      <c r="H60" s="18" t="str">
        <f t="shared" si="3"/>
        <v/>
      </c>
    </row>
    <row r="61" spans="2:17">
      <c r="B61" s="3"/>
      <c r="C61" s="6"/>
      <c r="E61" t="str">
        <f t="shared" si="4"/>
        <v/>
      </c>
      <c r="F61" t="str">
        <f t="shared" si="5"/>
        <v/>
      </c>
      <c r="G61" t="str">
        <f t="shared" si="6"/>
        <v/>
      </c>
      <c r="H61" s="18" t="str">
        <f t="shared" si="3"/>
        <v/>
      </c>
    </row>
    <row r="62" spans="2:17">
      <c r="B62" s="3"/>
      <c r="C62" s="6"/>
      <c r="E62" t="str">
        <f t="shared" si="4"/>
        <v/>
      </c>
      <c r="F62" t="str">
        <f t="shared" si="5"/>
        <v/>
      </c>
      <c r="G62" t="str">
        <f t="shared" si="6"/>
        <v/>
      </c>
      <c r="H62" s="18" t="str">
        <f t="shared" si="3"/>
        <v/>
      </c>
    </row>
    <row r="63" spans="2:17">
      <c r="B63" s="3"/>
      <c r="C63" s="6"/>
      <c r="E63" t="str">
        <f t="shared" si="4"/>
        <v/>
      </c>
      <c r="F63" t="str">
        <f t="shared" si="5"/>
        <v/>
      </c>
      <c r="G63" t="str">
        <f t="shared" si="6"/>
        <v/>
      </c>
      <c r="H63" s="18" t="str">
        <f t="shared" si="3"/>
        <v/>
      </c>
    </row>
    <row r="64" spans="2:17">
      <c r="B64" s="3"/>
      <c r="C64" s="6"/>
      <c r="E64" t="str">
        <f t="shared" si="4"/>
        <v/>
      </c>
      <c r="F64" t="str">
        <f t="shared" si="5"/>
        <v/>
      </c>
      <c r="G64" t="str">
        <f t="shared" si="6"/>
        <v/>
      </c>
      <c r="H64" s="18" t="str">
        <f t="shared" si="3"/>
        <v/>
      </c>
    </row>
    <row r="65" spans="2:8">
      <c r="B65" s="3"/>
      <c r="C65" s="6"/>
      <c r="E65" t="str">
        <f t="shared" si="4"/>
        <v/>
      </c>
      <c r="F65" t="str">
        <f t="shared" si="5"/>
        <v/>
      </c>
      <c r="G65" t="str">
        <f t="shared" si="6"/>
        <v/>
      </c>
      <c r="H65" s="18" t="str">
        <f t="shared" si="3"/>
        <v/>
      </c>
    </row>
    <row r="66" spans="2:8">
      <c r="B66" s="3"/>
      <c r="C66" s="6"/>
      <c r="E66" t="str">
        <f t="shared" ref="E66:E97" si="7">IF(A66="","",IF(VLOOKUP(A66,ilmoittautuneet,2,0)="","",VLOOKUP(A66,ilmoittautuneet,2,0)))</f>
        <v/>
      </c>
      <c r="F66" t="str">
        <f t="shared" ref="F66:F97" si="8">IF(A66="","",IF(VLOOKUP(A66,ilmoittautuneet,3,)="","",VLOOKUP(A66,ilmoittautuneet,3)))</f>
        <v/>
      </c>
      <c r="G66" t="str">
        <f t="shared" ref="G66:G97" si="9">IF(A66="","",IF(VLOOKUP(A66,ilmoittautuneet,4,)="","",VLOOKUP(A66,ilmoittautuneet,4)))</f>
        <v/>
      </c>
      <c r="H66" s="18" t="str">
        <f t="shared" ref="H66:H129" si="10">IF(C66&lt;&gt;"",C66-VLOOKUP(A66,ilmoittautuneet,5),IF(A66="","",B66-VLOOKUP(A66,ilmoittautuneet,5)))</f>
        <v/>
      </c>
    </row>
    <row r="67" spans="2:8">
      <c r="B67" s="3"/>
      <c r="C67" s="6"/>
      <c r="E67" t="str">
        <f t="shared" si="7"/>
        <v/>
      </c>
      <c r="F67" t="str">
        <f t="shared" si="8"/>
        <v/>
      </c>
      <c r="G67" t="str">
        <f t="shared" si="9"/>
        <v/>
      </c>
      <c r="H67" s="18" t="str">
        <f t="shared" si="10"/>
        <v/>
      </c>
    </row>
    <row r="68" spans="2:8">
      <c r="B68" s="3"/>
      <c r="C68" s="6"/>
      <c r="E68" t="str">
        <f t="shared" si="7"/>
        <v/>
      </c>
      <c r="F68" t="str">
        <f t="shared" si="8"/>
        <v/>
      </c>
      <c r="G68" t="str">
        <f t="shared" si="9"/>
        <v/>
      </c>
      <c r="H68" s="18" t="str">
        <f t="shared" si="10"/>
        <v/>
      </c>
    </row>
    <row r="69" spans="2:8">
      <c r="B69" s="3"/>
      <c r="C69" s="6"/>
      <c r="E69" t="str">
        <f t="shared" si="7"/>
        <v/>
      </c>
      <c r="F69" t="str">
        <f t="shared" si="8"/>
        <v/>
      </c>
      <c r="G69" t="str">
        <f t="shared" si="9"/>
        <v/>
      </c>
      <c r="H69" s="18" t="str">
        <f t="shared" si="10"/>
        <v/>
      </c>
    </row>
    <row r="70" spans="2:8">
      <c r="B70" s="3"/>
      <c r="C70" s="6"/>
      <c r="E70" t="str">
        <f t="shared" si="7"/>
        <v/>
      </c>
      <c r="F70" t="str">
        <f t="shared" si="8"/>
        <v/>
      </c>
      <c r="G70" t="str">
        <f t="shared" si="9"/>
        <v/>
      </c>
      <c r="H70" s="18" t="str">
        <f t="shared" si="10"/>
        <v/>
      </c>
    </row>
    <row r="71" spans="2:8">
      <c r="B71" s="3"/>
      <c r="C71" s="6"/>
      <c r="E71" t="str">
        <f t="shared" si="7"/>
        <v/>
      </c>
      <c r="F71" t="str">
        <f t="shared" si="8"/>
        <v/>
      </c>
      <c r="G71" t="str">
        <f t="shared" si="9"/>
        <v/>
      </c>
      <c r="H71" s="18" t="str">
        <f t="shared" si="10"/>
        <v/>
      </c>
    </row>
    <row r="72" spans="2:8">
      <c r="B72" s="3"/>
      <c r="C72" s="6"/>
      <c r="E72" t="str">
        <f t="shared" si="7"/>
        <v/>
      </c>
      <c r="F72" t="str">
        <f t="shared" si="8"/>
        <v/>
      </c>
      <c r="G72" t="str">
        <f t="shared" si="9"/>
        <v/>
      </c>
      <c r="H72" s="18" t="str">
        <f t="shared" si="10"/>
        <v/>
      </c>
    </row>
    <row r="73" spans="2:8">
      <c r="B73" s="3"/>
      <c r="C73" s="6"/>
      <c r="E73" t="str">
        <f t="shared" si="7"/>
        <v/>
      </c>
      <c r="F73" t="str">
        <f t="shared" si="8"/>
        <v/>
      </c>
      <c r="G73" t="str">
        <f t="shared" si="9"/>
        <v/>
      </c>
      <c r="H73" s="18" t="str">
        <f t="shared" si="10"/>
        <v/>
      </c>
    </row>
    <row r="74" spans="2:8">
      <c r="B74" s="3"/>
      <c r="C74" s="6"/>
      <c r="E74" t="str">
        <f t="shared" si="7"/>
        <v/>
      </c>
      <c r="F74" t="str">
        <f t="shared" si="8"/>
        <v/>
      </c>
      <c r="G74" t="str">
        <f t="shared" si="9"/>
        <v/>
      </c>
      <c r="H74" s="18" t="str">
        <f t="shared" si="10"/>
        <v/>
      </c>
    </row>
    <row r="75" spans="2:8">
      <c r="B75" s="3"/>
      <c r="C75" s="6"/>
      <c r="E75" t="str">
        <f t="shared" si="7"/>
        <v/>
      </c>
      <c r="F75" t="str">
        <f t="shared" si="8"/>
        <v/>
      </c>
      <c r="G75" t="str">
        <f t="shared" si="9"/>
        <v/>
      </c>
      <c r="H75" s="18" t="str">
        <f t="shared" si="10"/>
        <v/>
      </c>
    </row>
    <row r="76" spans="2:8">
      <c r="B76" s="3"/>
      <c r="C76" s="6"/>
      <c r="E76" t="str">
        <f t="shared" si="7"/>
        <v/>
      </c>
      <c r="F76" t="str">
        <f t="shared" si="8"/>
        <v/>
      </c>
      <c r="G76" t="str">
        <f t="shared" si="9"/>
        <v/>
      </c>
      <c r="H76" s="18" t="str">
        <f t="shared" si="10"/>
        <v/>
      </c>
    </row>
    <row r="77" spans="2:8">
      <c r="B77" s="3"/>
      <c r="C77" s="6"/>
      <c r="E77" t="str">
        <f t="shared" si="7"/>
        <v/>
      </c>
      <c r="F77" t="str">
        <f t="shared" si="8"/>
        <v/>
      </c>
      <c r="G77" t="str">
        <f t="shared" si="9"/>
        <v/>
      </c>
      <c r="H77" s="18" t="str">
        <f t="shared" si="10"/>
        <v/>
      </c>
    </row>
    <row r="78" spans="2:8">
      <c r="B78" s="3"/>
      <c r="C78" s="6"/>
      <c r="E78" t="str">
        <f t="shared" si="7"/>
        <v/>
      </c>
      <c r="F78" t="str">
        <f t="shared" si="8"/>
        <v/>
      </c>
      <c r="G78" t="str">
        <f t="shared" si="9"/>
        <v/>
      </c>
      <c r="H78" s="18" t="str">
        <f t="shared" si="10"/>
        <v/>
      </c>
    </row>
    <row r="79" spans="2:8">
      <c r="B79" s="3"/>
      <c r="C79" s="6"/>
      <c r="E79" t="str">
        <f t="shared" si="7"/>
        <v/>
      </c>
      <c r="F79" t="str">
        <f t="shared" si="8"/>
        <v/>
      </c>
      <c r="G79" t="str">
        <f t="shared" si="9"/>
        <v/>
      </c>
      <c r="H79" s="18" t="str">
        <f t="shared" si="10"/>
        <v/>
      </c>
    </row>
    <row r="80" spans="2:8">
      <c r="B80" s="3"/>
      <c r="C80" s="6"/>
      <c r="E80" t="str">
        <f t="shared" si="7"/>
        <v/>
      </c>
      <c r="F80" t="str">
        <f t="shared" si="8"/>
        <v/>
      </c>
      <c r="G80" t="str">
        <f t="shared" si="9"/>
        <v/>
      </c>
      <c r="H80" s="18" t="str">
        <f t="shared" si="10"/>
        <v/>
      </c>
    </row>
    <row r="81" spans="2:8">
      <c r="B81" s="3"/>
      <c r="C81" s="6"/>
      <c r="E81" t="str">
        <f t="shared" si="7"/>
        <v/>
      </c>
      <c r="F81" t="str">
        <f t="shared" si="8"/>
        <v/>
      </c>
      <c r="G81" t="str">
        <f t="shared" si="9"/>
        <v/>
      </c>
      <c r="H81" s="18" t="str">
        <f t="shared" si="10"/>
        <v/>
      </c>
    </row>
    <row r="82" spans="2:8">
      <c r="B82" s="3"/>
      <c r="C82" s="6"/>
      <c r="E82" t="str">
        <f t="shared" si="7"/>
        <v/>
      </c>
      <c r="F82" t="str">
        <f t="shared" si="8"/>
        <v/>
      </c>
      <c r="G82" t="str">
        <f t="shared" si="9"/>
        <v/>
      </c>
      <c r="H82" s="18" t="str">
        <f t="shared" si="10"/>
        <v/>
      </c>
    </row>
    <row r="83" spans="2:8">
      <c r="B83" s="3"/>
      <c r="C83" s="6"/>
      <c r="E83" t="str">
        <f t="shared" si="7"/>
        <v/>
      </c>
      <c r="F83" t="str">
        <f t="shared" si="8"/>
        <v/>
      </c>
      <c r="G83" t="str">
        <f t="shared" si="9"/>
        <v/>
      </c>
      <c r="H83" s="18" t="str">
        <f t="shared" si="10"/>
        <v/>
      </c>
    </row>
    <row r="84" spans="2:8">
      <c r="B84" s="3"/>
      <c r="C84" s="6"/>
      <c r="E84" t="str">
        <f t="shared" si="7"/>
        <v/>
      </c>
      <c r="F84" t="str">
        <f t="shared" si="8"/>
        <v/>
      </c>
      <c r="G84" t="str">
        <f t="shared" si="9"/>
        <v/>
      </c>
      <c r="H84" s="18" t="str">
        <f t="shared" si="10"/>
        <v/>
      </c>
    </row>
    <row r="85" spans="2:8">
      <c r="B85" s="3"/>
      <c r="C85" s="6"/>
      <c r="E85" t="str">
        <f t="shared" si="7"/>
        <v/>
      </c>
      <c r="F85" t="str">
        <f t="shared" si="8"/>
        <v/>
      </c>
      <c r="G85" t="str">
        <f t="shared" si="9"/>
        <v/>
      </c>
      <c r="H85" s="18" t="str">
        <f t="shared" si="10"/>
        <v/>
      </c>
    </row>
    <row r="86" spans="2:8">
      <c r="B86" s="3"/>
      <c r="C86" s="6"/>
      <c r="E86" t="str">
        <f t="shared" si="7"/>
        <v/>
      </c>
      <c r="F86" t="str">
        <f t="shared" si="8"/>
        <v/>
      </c>
      <c r="G86" t="str">
        <f t="shared" si="9"/>
        <v/>
      </c>
      <c r="H86" s="18" t="str">
        <f t="shared" si="10"/>
        <v/>
      </c>
    </row>
    <row r="87" spans="2:8">
      <c r="B87" s="3"/>
      <c r="C87" s="6"/>
      <c r="E87" t="str">
        <f t="shared" si="7"/>
        <v/>
      </c>
      <c r="F87" t="str">
        <f t="shared" si="8"/>
        <v/>
      </c>
      <c r="G87" t="str">
        <f t="shared" si="9"/>
        <v/>
      </c>
      <c r="H87" s="18" t="str">
        <f t="shared" si="10"/>
        <v/>
      </c>
    </row>
    <row r="88" spans="2:8">
      <c r="B88" s="3"/>
      <c r="C88" s="6"/>
      <c r="E88" t="str">
        <f t="shared" si="7"/>
        <v/>
      </c>
      <c r="F88" t="str">
        <f t="shared" si="8"/>
        <v/>
      </c>
      <c r="G88" t="str">
        <f t="shared" si="9"/>
        <v/>
      </c>
      <c r="H88" s="18" t="str">
        <f t="shared" si="10"/>
        <v/>
      </c>
    </row>
    <row r="89" spans="2:8">
      <c r="B89" s="3"/>
      <c r="C89" s="6"/>
      <c r="E89" t="str">
        <f t="shared" si="7"/>
        <v/>
      </c>
      <c r="F89" t="str">
        <f t="shared" si="8"/>
        <v/>
      </c>
      <c r="G89" t="str">
        <f t="shared" si="9"/>
        <v/>
      </c>
      <c r="H89" s="18" t="str">
        <f t="shared" si="10"/>
        <v/>
      </c>
    </row>
    <row r="90" spans="2:8">
      <c r="B90" s="3"/>
      <c r="C90" s="6"/>
      <c r="E90" t="str">
        <f t="shared" si="7"/>
        <v/>
      </c>
      <c r="F90" t="str">
        <f t="shared" si="8"/>
        <v/>
      </c>
      <c r="G90" t="str">
        <f t="shared" si="9"/>
        <v/>
      </c>
      <c r="H90" s="18" t="str">
        <f t="shared" si="10"/>
        <v/>
      </c>
    </row>
    <row r="91" spans="2:8">
      <c r="B91" s="3"/>
      <c r="C91" s="6"/>
      <c r="E91" t="str">
        <f t="shared" si="7"/>
        <v/>
      </c>
      <c r="F91" t="str">
        <f t="shared" si="8"/>
        <v/>
      </c>
      <c r="G91" t="str">
        <f t="shared" si="9"/>
        <v/>
      </c>
      <c r="H91" s="18" t="str">
        <f t="shared" si="10"/>
        <v/>
      </c>
    </row>
    <row r="92" spans="2:8">
      <c r="B92" s="3"/>
      <c r="C92" s="6"/>
      <c r="E92" t="str">
        <f t="shared" si="7"/>
        <v/>
      </c>
      <c r="F92" t="str">
        <f t="shared" si="8"/>
        <v/>
      </c>
      <c r="G92" t="str">
        <f t="shared" si="9"/>
        <v/>
      </c>
      <c r="H92" s="18" t="str">
        <f t="shared" si="10"/>
        <v/>
      </c>
    </row>
    <row r="93" spans="2:8">
      <c r="B93" s="3"/>
      <c r="C93" s="6"/>
      <c r="E93" t="str">
        <f t="shared" si="7"/>
        <v/>
      </c>
      <c r="F93" t="str">
        <f t="shared" si="8"/>
        <v/>
      </c>
      <c r="G93" t="str">
        <f t="shared" si="9"/>
        <v/>
      </c>
      <c r="H93" s="18" t="str">
        <f t="shared" si="10"/>
        <v/>
      </c>
    </row>
    <row r="94" spans="2:8">
      <c r="B94" s="3"/>
      <c r="C94" s="6"/>
      <c r="E94" t="str">
        <f t="shared" si="7"/>
        <v/>
      </c>
      <c r="F94" t="str">
        <f t="shared" si="8"/>
        <v/>
      </c>
      <c r="G94" t="str">
        <f t="shared" si="9"/>
        <v/>
      </c>
      <c r="H94" s="18" t="str">
        <f t="shared" si="10"/>
        <v/>
      </c>
    </row>
    <row r="95" spans="2:8">
      <c r="B95" s="3"/>
      <c r="C95" s="6"/>
      <c r="E95" t="str">
        <f t="shared" si="7"/>
        <v/>
      </c>
      <c r="F95" t="str">
        <f t="shared" si="8"/>
        <v/>
      </c>
      <c r="G95" t="str">
        <f t="shared" si="9"/>
        <v/>
      </c>
      <c r="H95" s="18" t="str">
        <f t="shared" si="10"/>
        <v/>
      </c>
    </row>
    <row r="96" spans="2:8">
      <c r="B96" s="3"/>
      <c r="C96" s="6"/>
      <c r="E96" t="str">
        <f t="shared" si="7"/>
        <v/>
      </c>
      <c r="F96" t="str">
        <f t="shared" si="8"/>
        <v/>
      </c>
      <c r="G96" t="str">
        <f t="shared" si="9"/>
        <v/>
      </c>
      <c r="H96" s="18" t="str">
        <f t="shared" si="10"/>
        <v/>
      </c>
    </row>
    <row r="97" spans="2:8">
      <c r="B97" s="3"/>
      <c r="C97" s="6"/>
      <c r="E97" t="str">
        <f t="shared" si="7"/>
        <v/>
      </c>
      <c r="F97" t="str">
        <f t="shared" si="8"/>
        <v/>
      </c>
      <c r="G97" t="str">
        <f t="shared" si="9"/>
        <v/>
      </c>
      <c r="H97" s="18" t="str">
        <f t="shared" si="10"/>
        <v/>
      </c>
    </row>
    <row r="98" spans="2:8">
      <c r="B98" s="3"/>
      <c r="C98" s="6"/>
      <c r="E98" t="str">
        <f t="shared" ref="E98:E129" si="11">IF(A98="","",IF(VLOOKUP(A98,ilmoittautuneet,2,0)="","",VLOOKUP(A98,ilmoittautuneet,2,0)))</f>
        <v/>
      </c>
      <c r="F98" t="str">
        <f t="shared" ref="F98:F129" si="12">IF(A98="","",IF(VLOOKUP(A98,ilmoittautuneet,3,)="","",VLOOKUP(A98,ilmoittautuneet,3)))</f>
        <v/>
      </c>
      <c r="G98" t="str">
        <f t="shared" ref="G98:G129" si="13">IF(A98="","",IF(VLOOKUP(A98,ilmoittautuneet,4,)="","",VLOOKUP(A98,ilmoittautuneet,4)))</f>
        <v/>
      </c>
      <c r="H98" s="18" t="str">
        <f t="shared" si="10"/>
        <v/>
      </c>
    </row>
    <row r="99" spans="2:8">
      <c r="B99" s="3"/>
      <c r="C99" s="6"/>
      <c r="E99" t="str">
        <f t="shared" si="11"/>
        <v/>
      </c>
      <c r="F99" t="str">
        <f t="shared" si="12"/>
        <v/>
      </c>
      <c r="G99" t="str">
        <f t="shared" si="13"/>
        <v/>
      </c>
      <c r="H99" s="18" t="str">
        <f t="shared" si="10"/>
        <v/>
      </c>
    </row>
    <row r="100" spans="2:8">
      <c r="B100" s="3"/>
      <c r="C100" s="6"/>
      <c r="E100" t="str">
        <f t="shared" si="11"/>
        <v/>
      </c>
      <c r="F100" t="str">
        <f t="shared" si="12"/>
        <v/>
      </c>
      <c r="G100" t="str">
        <f t="shared" si="13"/>
        <v/>
      </c>
      <c r="H100" s="18" t="str">
        <f t="shared" si="10"/>
        <v/>
      </c>
    </row>
    <row r="101" spans="2:8">
      <c r="B101" s="3"/>
      <c r="C101" s="6"/>
      <c r="E101" t="str">
        <f t="shared" si="11"/>
        <v/>
      </c>
      <c r="F101" t="str">
        <f t="shared" si="12"/>
        <v/>
      </c>
      <c r="G101" t="str">
        <f t="shared" si="13"/>
        <v/>
      </c>
      <c r="H101" s="18" t="str">
        <f t="shared" si="10"/>
        <v/>
      </c>
    </row>
    <row r="102" spans="2:8">
      <c r="B102" s="3"/>
      <c r="C102" s="6"/>
      <c r="E102" t="str">
        <f t="shared" si="11"/>
        <v/>
      </c>
      <c r="F102" t="str">
        <f t="shared" si="12"/>
        <v/>
      </c>
      <c r="G102" t="str">
        <f t="shared" si="13"/>
        <v/>
      </c>
      <c r="H102" s="18" t="str">
        <f t="shared" si="10"/>
        <v/>
      </c>
    </row>
    <row r="103" spans="2:8">
      <c r="B103" s="3"/>
      <c r="C103" s="6"/>
      <c r="E103" t="str">
        <f t="shared" si="11"/>
        <v/>
      </c>
      <c r="F103" t="str">
        <f t="shared" si="12"/>
        <v/>
      </c>
      <c r="G103" t="str">
        <f t="shared" si="13"/>
        <v/>
      </c>
      <c r="H103" s="18" t="str">
        <f t="shared" si="10"/>
        <v/>
      </c>
    </row>
    <row r="104" spans="2:8">
      <c r="B104" s="3"/>
      <c r="C104" s="6"/>
      <c r="E104" t="str">
        <f t="shared" si="11"/>
        <v/>
      </c>
      <c r="F104" t="str">
        <f t="shared" si="12"/>
        <v/>
      </c>
      <c r="G104" t="str">
        <f t="shared" si="13"/>
        <v/>
      </c>
      <c r="H104" s="18" t="str">
        <f t="shared" si="10"/>
        <v/>
      </c>
    </row>
    <row r="105" spans="2:8">
      <c r="B105" s="3"/>
      <c r="C105" s="6"/>
      <c r="E105" t="str">
        <f t="shared" si="11"/>
        <v/>
      </c>
      <c r="F105" t="str">
        <f t="shared" si="12"/>
        <v/>
      </c>
      <c r="G105" t="str">
        <f t="shared" si="13"/>
        <v/>
      </c>
      <c r="H105" s="18" t="str">
        <f t="shared" si="10"/>
        <v/>
      </c>
    </row>
    <row r="106" spans="2:8">
      <c r="B106" s="3"/>
      <c r="C106" s="6"/>
      <c r="E106" t="str">
        <f t="shared" si="11"/>
        <v/>
      </c>
      <c r="F106" t="str">
        <f t="shared" si="12"/>
        <v/>
      </c>
      <c r="G106" t="str">
        <f t="shared" si="13"/>
        <v/>
      </c>
      <c r="H106" s="18" t="str">
        <f t="shared" si="10"/>
        <v/>
      </c>
    </row>
    <row r="107" spans="2:8">
      <c r="B107" s="3"/>
      <c r="C107" s="6"/>
      <c r="E107" t="str">
        <f t="shared" si="11"/>
        <v/>
      </c>
      <c r="F107" t="str">
        <f t="shared" si="12"/>
        <v/>
      </c>
      <c r="G107" t="str">
        <f t="shared" si="13"/>
        <v/>
      </c>
      <c r="H107" s="18" t="str">
        <f t="shared" si="10"/>
        <v/>
      </c>
    </row>
    <row r="108" spans="2:8">
      <c r="B108" s="3"/>
      <c r="C108" s="6"/>
      <c r="E108" t="str">
        <f t="shared" si="11"/>
        <v/>
      </c>
      <c r="F108" t="str">
        <f t="shared" si="12"/>
        <v/>
      </c>
      <c r="G108" t="str">
        <f t="shared" si="13"/>
        <v/>
      </c>
      <c r="H108" s="18" t="str">
        <f t="shared" si="10"/>
        <v/>
      </c>
    </row>
    <row r="109" spans="2:8">
      <c r="B109" s="3"/>
      <c r="C109" s="6"/>
      <c r="E109" t="str">
        <f t="shared" si="11"/>
        <v/>
      </c>
      <c r="F109" t="str">
        <f t="shared" si="12"/>
        <v/>
      </c>
      <c r="G109" t="str">
        <f t="shared" si="13"/>
        <v/>
      </c>
      <c r="H109" s="18" t="str">
        <f t="shared" si="10"/>
        <v/>
      </c>
    </row>
    <row r="110" spans="2:8">
      <c r="B110" s="3"/>
      <c r="C110" s="6"/>
      <c r="E110" t="str">
        <f t="shared" si="11"/>
        <v/>
      </c>
      <c r="F110" t="str">
        <f t="shared" si="12"/>
        <v/>
      </c>
      <c r="G110" t="str">
        <f t="shared" si="13"/>
        <v/>
      </c>
      <c r="H110" s="18" t="str">
        <f t="shared" si="10"/>
        <v/>
      </c>
    </row>
    <row r="111" spans="2:8">
      <c r="B111" s="3"/>
      <c r="C111" s="6"/>
      <c r="E111" t="str">
        <f t="shared" si="11"/>
        <v/>
      </c>
      <c r="F111" t="str">
        <f t="shared" si="12"/>
        <v/>
      </c>
      <c r="G111" t="str">
        <f t="shared" si="13"/>
        <v/>
      </c>
      <c r="H111" s="18" t="str">
        <f t="shared" si="10"/>
        <v/>
      </c>
    </row>
    <row r="112" spans="2:8">
      <c r="B112" s="3"/>
      <c r="C112" s="6"/>
      <c r="E112" t="str">
        <f t="shared" si="11"/>
        <v/>
      </c>
      <c r="F112" t="str">
        <f t="shared" si="12"/>
        <v/>
      </c>
      <c r="G112" t="str">
        <f t="shared" si="13"/>
        <v/>
      </c>
      <c r="H112" s="18" t="str">
        <f t="shared" si="10"/>
        <v/>
      </c>
    </row>
    <row r="113" spans="2:8">
      <c r="B113" s="3"/>
      <c r="C113" s="6"/>
      <c r="E113" t="str">
        <f t="shared" si="11"/>
        <v/>
      </c>
      <c r="F113" t="str">
        <f t="shared" si="12"/>
        <v/>
      </c>
      <c r="G113" t="str">
        <f t="shared" si="13"/>
        <v/>
      </c>
      <c r="H113" s="18" t="str">
        <f t="shared" si="10"/>
        <v/>
      </c>
    </row>
    <row r="114" spans="2:8">
      <c r="B114" s="3"/>
      <c r="C114" s="6"/>
      <c r="E114" t="str">
        <f t="shared" si="11"/>
        <v/>
      </c>
      <c r="F114" t="str">
        <f t="shared" si="12"/>
        <v/>
      </c>
      <c r="G114" t="str">
        <f t="shared" si="13"/>
        <v/>
      </c>
      <c r="H114" s="18" t="str">
        <f t="shared" si="10"/>
        <v/>
      </c>
    </row>
    <row r="115" spans="2:8">
      <c r="B115" s="3"/>
      <c r="C115" s="6"/>
      <c r="E115" t="str">
        <f t="shared" si="11"/>
        <v/>
      </c>
      <c r="F115" t="str">
        <f t="shared" si="12"/>
        <v/>
      </c>
      <c r="G115" t="str">
        <f t="shared" si="13"/>
        <v/>
      </c>
      <c r="H115" s="18" t="str">
        <f t="shared" si="10"/>
        <v/>
      </c>
    </row>
    <row r="116" spans="2:8">
      <c r="B116" s="3"/>
      <c r="C116" s="6"/>
      <c r="E116" t="str">
        <f t="shared" si="11"/>
        <v/>
      </c>
      <c r="F116" t="str">
        <f t="shared" si="12"/>
        <v/>
      </c>
      <c r="G116" t="str">
        <f t="shared" si="13"/>
        <v/>
      </c>
      <c r="H116" s="18" t="str">
        <f t="shared" si="10"/>
        <v/>
      </c>
    </row>
    <row r="117" spans="2:8">
      <c r="B117" s="3"/>
      <c r="C117" s="6"/>
      <c r="E117" t="str">
        <f t="shared" si="11"/>
        <v/>
      </c>
      <c r="F117" t="str">
        <f t="shared" si="12"/>
        <v/>
      </c>
      <c r="G117" t="str">
        <f t="shared" si="13"/>
        <v/>
      </c>
      <c r="H117" s="18" t="str">
        <f t="shared" si="10"/>
        <v/>
      </c>
    </row>
    <row r="118" spans="2:8">
      <c r="B118" s="3"/>
      <c r="C118" s="6"/>
      <c r="E118" t="str">
        <f t="shared" si="11"/>
        <v/>
      </c>
      <c r="F118" t="str">
        <f t="shared" si="12"/>
        <v/>
      </c>
      <c r="G118" t="str">
        <f t="shared" si="13"/>
        <v/>
      </c>
      <c r="H118" s="18" t="str">
        <f t="shared" si="10"/>
        <v/>
      </c>
    </row>
    <row r="119" spans="2:8">
      <c r="B119" s="3"/>
      <c r="C119" s="6"/>
      <c r="E119" t="str">
        <f t="shared" si="11"/>
        <v/>
      </c>
      <c r="F119" t="str">
        <f t="shared" si="12"/>
        <v/>
      </c>
      <c r="G119" t="str">
        <f t="shared" si="13"/>
        <v/>
      </c>
      <c r="H119" s="18" t="str">
        <f t="shared" si="10"/>
        <v/>
      </c>
    </row>
    <row r="120" spans="2:8">
      <c r="B120" s="3"/>
      <c r="C120" s="6"/>
      <c r="E120" t="str">
        <f t="shared" si="11"/>
        <v/>
      </c>
      <c r="F120" t="str">
        <f t="shared" si="12"/>
        <v/>
      </c>
      <c r="G120" t="str">
        <f t="shared" si="13"/>
        <v/>
      </c>
      <c r="H120" s="18" t="str">
        <f t="shared" si="10"/>
        <v/>
      </c>
    </row>
    <row r="121" spans="2:8">
      <c r="B121" s="3"/>
      <c r="C121" s="6"/>
      <c r="E121" t="str">
        <f t="shared" si="11"/>
        <v/>
      </c>
      <c r="F121" t="str">
        <f t="shared" si="12"/>
        <v/>
      </c>
      <c r="G121" t="str">
        <f t="shared" si="13"/>
        <v/>
      </c>
      <c r="H121" s="18" t="str">
        <f t="shared" si="10"/>
        <v/>
      </c>
    </row>
    <row r="122" spans="2:8">
      <c r="B122" s="3"/>
      <c r="C122" s="6"/>
      <c r="E122" t="str">
        <f t="shared" si="11"/>
        <v/>
      </c>
      <c r="F122" t="str">
        <f t="shared" si="12"/>
        <v/>
      </c>
      <c r="G122" t="str">
        <f t="shared" si="13"/>
        <v/>
      </c>
      <c r="H122" s="18" t="str">
        <f t="shared" si="10"/>
        <v/>
      </c>
    </row>
    <row r="123" spans="2:8">
      <c r="B123" s="3"/>
      <c r="C123" s="6"/>
      <c r="E123" t="str">
        <f t="shared" si="11"/>
        <v/>
      </c>
      <c r="F123" t="str">
        <f t="shared" si="12"/>
        <v/>
      </c>
      <c r="G123" t="str">
        <f t="shared" si="13"/>
        <v/>
      </c>
      <c r="H123" s="18" t="str">
        <f t="shared" si="10"/>
        <v/>
      </c>
    </row>
    <row r="124" spans="2:8">
      <c r="B124" s="3"/>
      <c r="C124" s="6"/>
      <c r="E124" t="str">
        <f t="shared" si="11"/>
        <v/>
      </c>
      <c r="F124" t="str">
        <f t="shared" si="12"/>
        <v/>
      </c>
      <c r="G124" t="str">
        <f t="shared" si="13"/>
        <v/>
      </c>
      <c r="H124" s="18" t="str">
        <f t="shared" si="10"/>
        <v/>
      </c>
    </row>
    <row r="125" spans="2:8">
      <c r="B125" s="3"/>
      <c r="C125" s="6"/>
      <c r="E125" t="str">
        <f t="shared" si="11"/>
        <v/>
      </c>
      <c r="F125" t="str">
        <f t="shared" si="12"/>
        <v/>
      </c>
      <c r="G125" t="str">
        <f t="shared" si="13"/>
        <v/>
      </c>
      <c r="H125" s="18" t="str">
        <f t="shared" si="10"/>
        <v/>
      </c>
    </row>
    <row r="126" spans="2:8">
      <c r="B126" s="3"/>
      <c r="C126" s="6"/>
      <c r="E126" t="str">
        <f t="shared" si="11"/>
        <v/>
      </c>
      <c r="F126" t="str">
        <f t="shared" si="12"/>
        <v/>
      </c>
      <c r="G126" t="str">
        <f t="shared" si="13"/>
        <v/>
      </c>
      <c r="H126" s="18" t="str">
        <f t="shared" si="10"/>
        <v/>
      </c>
    </row>
    <row r="127" spans="2:8">
      <c r="B127" s="3"/>
      <c r="C127" s="6"/>
      <c r="E127" t="str">
        <f t="shared" si="11"/>
        <v/>
      </c>
      <c r="F127" t="str">
        <f t="shared" si="12"/>
        <v/>
      </c>
      <c r="G127" t="str">
        <f t="shared" si="13"/>
        <v/>
      </c>
      <c r="H127" s="18" t="str">
        <f t="shared" si="10"/>
        <v/>
      </c>
    </row>
    <row r="128" spans="2:8">
      <c r="B128" s="3"/>
      <c r="C128" s="6"/>
      <c r="E128" t="str">
        <f t="shared" si="11"/>
        <v/>
      </c>
      <c r="F128" t="str">
        <f t="shared" si="12"/>
        <v/>
      </c>
      <c r="G128" t="str">
        <f t="shared" si="13"/>
        <v/>
      </c>
      <c r="H128" s="18" t="str">
        <f t="shared" si="10"/>
        <v/>
      </c>
    </row>
    <row r="129" spans="2:8">
      <c r="B129" s="3"/>
      <c r="C129" s="6"/>
      <c r="E129" t="str">
        <f t="shared" si="11"/>
        <v/>
      </c>
      <c r="F129" t="str">
        <f t="shared" si="12"/>
        <v/>
      </c>
      <c r="G129" t="str">
        <f t="shared" si="13"/>
        <v/>
      </c>
      <c r="H129" s="18" t="str">
        <f t="shared" si="10"/>
        <v/>
      </c>
    </row>
    <row r="130" spans="2:8">
      <c r="B130" s="3"/>
      <c r="C130" s="6"/>
      <c r="E130" t="str">
        <f t="shared" ref="E130:E161" si="14">IF(A130="","",IF(VLOOKUP(A130,ilmoittautuneet,2,0)="","",VLOOKUP(A130,ilmoittautuneet,2,0)))</f>
        <v/>
      </c>
      <c r="F130" t="str">
        <f t="shared" ref="F130:F161" si="15">IF(A130="","",IF(VLOOKUP(A130,ilmoittautuneet,3,)="","",VLOOKUP(A130,ilmoittautuneet,3)))</f>
        <v/>
      </c>
      <c r="G130" t="str">
        <f t="shared" ref="G130:G161" si="16">IF(A130="","",IF(VLOOKUP(A130,ilmoittautuneet,4,)="","",VLOOKUP(A130,ilmoittautuneet,4)))</f>
        <v/>
      </c>
      <c r="H130" s="18" t="str">
        <f t="shared" ref="H130:H193" si="17">IF(C130&lt;&gt;"",C130-VLOOKUP(A130,ilmoittautuneet,5),IF(A130="","",B130-VLOOKUP(A130,ilmoittautuneet,5)))</f>
        <v/>
      </c>
    </row>
    <row r="131" spans="2:8">
      <c r="B131" s="3"/>
      <c r="C131" s="6"/>
      <c r="E131" t="str">
        <f t="shared" si="14"/>
        <v/>
      </c>
      <c r="F131" t="str">
        <f t="shared" si="15"/>
        <v/>
      </c>
      <c r="G131" t="str">
        <f t="shared" si="16"/>
        <v/>
      </c>
      <c r="H131" s="18" t="str">
        <f t="shared" si="17"/>
        <v/>
      </c>
    </row>
    <row r="132" spans="2:8">
      <c r="B132" s="3"/>
      <c r="C132" s="6"/>
      <c r="E132" t="str">
        <f t="shared" si="14"/>
        <v/>
      </c>
      <c r="F132" t="str">
        <f t="shared" si="15"/>
        <v/>
      </c>
      <c r="G132" t="str">
        <f t="shared" si="16"/>
        <v/>
      </c>
      <c r="H132" s="18" t="str">
        <f t="shared" si="17"/>
        <v/>
      </c>
    </row>
    <row r="133" spans="2:8">
      <c r="B133" s="3"/>
      <c r="C133" s="6"/>
      <c r="E133" t="str">
        <f t="shared" si="14"/>
        <v/>
      </c>
      <c r="F133" t="str">
        <f t="shared" si="15"/>
        <v/>
      </c>
      <c r="G133" t="str">
        <f t="shared" si="16"/>
        <v/>
      </c>
      <c r="H133" s="18" t="str">
        <f t="shared" si="17"/>
        <v/>
      </c>
    </row>
    <row r="134" spans="2:8">
      <c r="B134" s="3"/>
      <c r="C134" s="6"/>
      <c r="E134" t="str">
        <f t="shared" si="14"/>
        <v/>
      </c>
      <c r="F134" t="str">
        <f t="shared" si="15"/>
        <v/>
      </c>
      <c r="G134" t="str">
        <f t="shared" si="16"/>
        <v/>
      </c>
      <c r="H134" s="18" t="str">
        <f t="shared" si="17"/>
        <v/>
      </c>
    </row>
    <row r="135" spans="2:8">
      <c r="B135" s="3"/>
      <c r="C135" s="6"/>
      <c r="E135" t="str">
        <f t="shared" si="14"/>
        <v/>
      </c>
      <c r="F135" t="str">
        <f t="shared" si="15"/>
        <v/>
      </c>
      <c r="G135" t="str">
        <f t="shared" si="16"/>
        <v/>
      </c>
      <c r="H135" s="18" t="str">
        <f t="shared" si="17"/>
        <v/>
      </c>
    </row>
    <row r="136" spans="2:8">
      <c r="B136" s="3"/>
      <c r="C136" s="6"/>
      <c r="E136" t="str">
        <f t="shared" si="14"/>
        <v/>
      </c>
      <c r="F136" t="str">
        <f t="shared" si="15"/>
        <v/>
      </c>
      <c r="G136" t="str">
        <f t="shared" si="16"/>
        <v/>
      </c>
      <c r="H136" s="18" t="str">
        <f t="shared" si="17"/>
        <v/>
      </c>
    </row>
    <row r="137" spans="2:8">
      <c r="B137" s="3"/>
      <c r="C137" s="6"/>
      <c r="E137" t="str">
        <f t="shared" si="14"/>
        <v/>
      </c>
      <c r="F137" t="str">
        <f t="shared" si="15"/>
        <v/>
      </c>
      <c r="G137" t="str">
        <f t="shared" si="16"/>
        <v/>
      </c>
      <c r="H137" s="18" t="str">
        <f t="shared" si="17"/>
        <v/>
      </c>
    </row>
    <row r="138" spans="2:8">
      <c r="B138" s="3"/>
      <c r="C138" s="6"/>
      <c r="E138" t="str">
        <f t="shared" si="14"/>
        <v/>
      </c>
      <c r="F138" t="str">
        <f t="shared" si="15"/>
        <v/>
      </c>
      <c r="G138" t="str">
        <f t="shared" si="16"/>
        <v/>
      </c>
      <c r="H138" s="18" t="str">
        <f t="shared" si="17"/>
        <v/>
      </c>
    </row>
    <row r="139" spans="2:8">
      <c r="B139" s="3"/>
      <c r="C139" s="6"/>
      <c r="E139" t="str">
        <f t="shared" si="14"/>
        <v/>
      </c>
      <c r="F139" t="str">
        <f t="shared" si="15"/>
        <v/>
      </c>
      <c r="G139" t="str">
        <f t="shared" si="16"/>
        <v/>
      </c>
      <c r="H139" s="18" t="str">
        <f t="shared" si="17"/>
        <v/>
      </c>
    </row>
    <row r="140" spans="2:8">
      <c r="B140" s="3"/>
      <c r="C140" s="6"/>
      <c r="E140" t="str">
        <f t="shared" si="14"/>
        <v/>
      </c>
      <c r="F140" t="str">
        <f t="shared" si="15"/>
        <v/>
      </c>
      <c r="G140" t="str">
        <f t="shared" si="16"/>
        <v/>
      </c>
      <c r="H140" s="18" t="str">
        <f t="shared" si="17"/>
        <v/>
      </c>
    </row>
    <row r="141" spans="2:8">
      <c r="B141" s="3"/>
      <c r="C141" s="6"/>
      <c r="E141" t="str">
        <f t="shared" si="14"/>
        <v/>
      </c>
      <c r="F141" t="str">
        <f t="shared" si="15"/>
        <v/>
      </c>
      <c r="G141" t="str">
        <f t="shared" si="16"/>
        <v/>
      </c>
      <c r="H141" s="18" t="str">
        <f t="shared" si="17"/>
        <v/>
      </c>
    </row>
    <row r="142" spans="2:8">
      <c r="B142" s="3"/>
      <c r="C142" s="6"/>
      <c r="E142" t="str">
        <f t="shared" si="14"/>
        <v/>
      </c>
      <c r="F142" t="str">
        <f t="shared" si="15"/>
        <v/>
      </c>
      <c r="G142" t="str">
        <f t="shared" si="16"/>
        <v/>
      </c>
      <c r="H142" s="18" t="str">
        <f t="shared" si="17"/>
        <v/>
      </c>
    </row>
    <row r="143" spans="2:8">
      <c r="B143" s="3"/>
      <c r="C143" s="6"/>
      <c r="E143" t="str">
        <f t="shared" si="14"/>
        <v/>
      </c>
      <c r="F143" t="str">
        <f t="shared" si="15"/>
        <v/>
      </c>
      <c r="G143" t="str">
        <f t="shared" si="16"/>
        <v/>
      </c>
      <c r="H143" s="18" t="str">
        <f t="shared" si="17"/>
        <v/>
      </c>
    </row>
    <row r="144" spans="2:8">
      <c r="B144" s="3"/>
      <c r="C144" s="6"/>
      <c r="E144" t="str">
        <f t="shared" si="14"/>
        <v/>
      </c>
      <c r="F144" t="str">
        <f t="shared" si="15"/>
        <v/>
      </c>
      <c r="G144" t="str">
        <f t="shared" si="16"/>
        <v/>
      </c>
      <c r="H144" s="18" t="str">
        <f t="shared" si="17"/>
        <v/>
      </c>
    </row>
    <row r="145" spans="2:8">
      <c r="B145" s="3"/>
      <c r="C145" s="6"/>
      <c r="E145" t="str">
        <f t="shared" si="14"/>
        <v/>
      </c>
      <c r="F145" t="str">
        <f t="shared" si="15"/>
        <v/>
      </c>
      <c r="G145" t="str">
        <f t="shared" si="16"/>
        <v/>
      </c>
      <c r="H145" s="18" t="str">
        <f t="shared" si="17"/>
        <v/>
      </c>
    </row>
    <row r="146" spans="2:8">
      <c r="B146" s="3"/>
      <c r="C146" s="6"/>
      <c r="E146" t="str">
        <f t="shared" si="14"/>
        <v/>
      </c>
      <c r="F146" t="str">
        <f t="shared" si="15"/>
        <v/>
      </c>
      <c r="G146" t="str">
        <f t="shared" si="16"/>
        <v/>
      </c>
      <c r="H146" s="18" t="str">
        <f t="shared" si="17"/>
        <v/>
      </c>
    </row>
    <row r="147" spans="2:8">
      <c r="B147" s="3"/>
      <c r="C147" s="6"/>
      <c r="E147" t="str">
        <f t="shared" si="14"/>
        <v/>
      </c>
      <c r="F147" t="str">
        <f t="shared" si="15"/>
        <v/>
      </c>
      <c r="G147" t="str">
        <f t="shared" si="16"/>
        <v/>
      </c>
      <c r="H147" s="18" t="str">
        <f t="shared" si="17"/>
        <v/>
      </c>
    </row>
    <row r="148" spans="2:8">
      <c r="B148" s="3"/>
      <c r="C148" s="6"/>
      <c r="E148" t="str">
        <f t="shared" si="14"/>
        <v/>
      </c>
      <c r="F148" t="str">
        <f t="shared" si="15"/>
        <v/>
      </c>
      <c r="G148" t="str">
        <f t="shared" si="16"/>
        <v/>
      </c>
      <c r="H148" s="18" t="str">
        <f t="shared" si="17"/>
        <v/>
      </c>
    </row>
    <row r="149" spans="2:8">
      <c r="B149" s="3"/>
      <c r="C149" s="6"/>
      <c r="E149" t="str">
        <f t="shared" si="14"/>
        <v/>
      </c>
      <c r="F149" t="str">
        <f t="shared" si="15"/>
        <v/>
      </c>
      <c r="G149" t="str">
        <f t="shared" si="16"/>
        <v/>
      </c>
      <c r="H149" s="18" t="str">
        <f t="shared" si="17"/>
        <v/>
      </c>
    </row>
    <row r="150" spans="2:8">
      <c r="B150" s="3"/>
      <c r="C150" s="6"/>
      <c r="E150" t="str">
        <f t="shared" si="14"/>
        <v/>
      </c>
      <c r="F150" t="str">
        <f t="shared" si="15"/>
        <v/>
      </c>
      <c r="G150" t="str">
        <f t="shared" si="16"/>
        <v/>
      </c>
      <c r="H150" s="18" t="str">
        <f t="shared" si="17"/>
        <v/>
      </c>
    </row>
    <row r="151" spans="2:8">
      <c r="B151" s="3"/>
      <c r="C151" s="6"/>
      <c r="E151" t="str">
        <f t="shared" si="14"/>
        <v/>
      </c>
      <c r="F151" t="str">
        <f t="shared" si="15"/>
        <v/>
      </c>
      <c r="G151" t="str">
        <f t="shared" si="16"/>
        <v/>
      </c>
      <c r="H151" s="18" t="str">
        <f t="shared" si="17"/>
        <v/>
      </c>
    </row>
    <row r="152" spans="2:8">
      <c r="B152" s="3"/>
      <c r="C152" s="6"/>
      <c r="E152" t="str">
        <f t="shared" si="14"/>
        <v/>
      </c>
      <c r="F152" t="str">
        <f t="shared" si="15"/>
        <v/>
      </c>
      <c r="G152" t="str">
        <f t="shared" si="16"/>
        <v/>
      </c>
      <c r="H152" s="18" t="str">
        <f t="shared" si="17"/>
        <v/>
      </c>
    </row>
    <row r="153" spans="2:8">
      <c r="B153" s="3"/>
      <c r="C153" s="6"/>
      <c r="E153" t="str">
        <f t="shared" si="14"/>
        <v/>
      </c>
      <c r="F153" t="str">
        <f t="shared" si="15"/>
        <v/>
      </c>
      <c r="G153" t="str">
        <f t="shared" si="16"/>
        <v/>
      </c>
      <c r="H153" s="18" t="str">
        <f t="shared" si="17"/>
        <v/>
      </c>
    </row>
    <row r="154" spans="2:8">
      <c r="B154" s="3"/>
      <c r="C154" s="6"/>
      <c r="E154" t="str">
        <f t="shared" si="14"/>
        <v/>
      </c>
      <c r="F154" t="str">
        <f t="shared" si="15"/>
        <v/>
      </c>
      <c r="G154" t="str">
        <f t="shared" si="16"/>
        <v/>
      </c>
      <c r="H154" s="18" t="str">
        <f t="shared" si="17"/>
        <v/>
      </c>
    </row>
    <row r="155" spans="2:8">
      <c r="B155" s="3"/>
      <c r="C155" s="6"/>
      <c r="E155" t="str">
        <f t="shared" si="14"/>
        <v/>
      </c>
      <c r="F155" t="str">
        <f t="shared" si="15"/>
        <v/>
      </c>
      <c r="G155" t="str">
        <f t="shared" si="16"/>
        <v/>
      </c>
      <c r="H155" s="18" t="str">
        <f t="shared" si="17"/>
        <v/>
      </c>
    </row>
    <row r="156" spans="2:8">
      <c r="B156" s="3"/>
      <c r="C156" s="6"/>
      <c r="E156" t="str">
        <f t="shared" si="14"/>
        <v/>
      </c>
      <c r="F156" t="str">
        <f t="shared" si="15"/>
        <v/>
      </c>
      <c r="G156" t="str">
        <f t="shared" si="16"/>
        <v/>
      </c>
      <c r="H156" s="18" t="str">
        <f t="shared" si="17"/>
        <v/>
      </c>
    </row>
    <row r="157" spans="2:8">
      <c r="B157" s="3"/>
      <c r="C157" s="6"/>
      <c r="E157" t="str">
        <f t="shared" si="14"/>
        <v/>
      </c>
      <c r="F157" t="str">
        <f t="shared" si="15"/>
        <v/>
      </c>
      <c r="G157" t="str">
        <f t="shared" si="16"/>
        <v/>
      </c>
      <c r="H157" s="18" t="str">
        <f t="shared" si="17"/>
        <v/>
      </c>
    </row>
    <row r="158" spans="2:8">
      <c r="B158" s="3"/>
      <c r="C158" s="6"/>
      <c r="E158" t="str">
        <f t="shared" si="14"/>
        <v/>
      </c>
      <c r="F158" t="str">
        <f t="shared" si="15"/>
        <v/>
      </c>
      <c r="G158" t="str">
        <f t="shared" si="16"/>
        <v/>
      </c>
      <c r="H158" s="18" t="str">
        <f t="shared" si="17"/>
        <v/>
      </c>
    </row>
    <row r="159" spans="2:8">
      <c r="B159" s="3"/>
      <c r="C159" s="6"/>
      <c r="E159" t="str">
        <f t="shared" si="14"/>
        <v/>
      </c>
      <c r="F159" t="str">
        <f t="shared" si="15"/>
        <v/>
      </c>
      <c r="G159" t="str">
        <f t="shared" si="16"/>
        <v/>
      </c>
      <c r="H159" s="18" t="str">
        <f t="shared" si="17"/>
        <v/>
      </c>
    </row>
    <row r="160" spans="2:8">
      <c r="B160" s="3"/>
      <c r="C160" s="6"/>
      <c r="E160" t="str">
        <f t="shared" si="14"/>
        <v/>
      </c>
      <c r="F160" t="str">
        <f t="shared" si="15"/>
        <v/>
      </c>
      <c r="G160" t="str">
        <f t="shared" si="16"/>
        <v/>
      </c>
      <c r="H160" s="18" t="str">
        <f t="shared" si="17"/>
        <v/>
      </c>
    </row>
    <row r="161" spans="2:8">
      <c r="B161" s="3"/>
      <c r="C161" s="6"/>
      <c r="E161" t="str">
        <f t="shared" si="14"/>
        <v/>
      </c>
      <c r="F161" t="str">
        <f t="shared" si="15"/>
        <v/>
      </c>
      <c r="G161" t="str">
        <f t="shared" si="16"/>
        <v/>
      </c>
      <c r="H161" s="18" t="str">
        <f t="shared" si="17"/>
        <v/>
      </c>
    </row>
    <row r="162" spans="2:8">
      <c r="B162" s="3"/>
      <c r="C162" s="6"/>
      <c r="E162" t="str">
        <f t="shared" ref="E162:E193" si="18">IF(A162="","",IF(VLOOKUP(A162,ilmoittautuneet,2,0)="","",VLOOKUP(A162,ilmoittautuneet,2,0)))</f>
        <v/>
      </c>
      <c r="F162" t="str">
        <f t="shared" ref="F162:F193" si="19">IF(A162="","",IF(VLOOKUP(A162,ilmoittautuneet,3,)="","",VLOOKUP(A162,ilmoittautuneet,3)))</f>
        <v/>
      </c>
      <c r="G162" t="str">
        <f t="shared" ref="G162:G193" si="20">IF(A162="","",IF(VLOOKUP(A162,ilmoittautuneet,4,)="","",VLOOKUP(A162,ilmoittautuneet,4)))</f>
        <v/>
      </c>
      <c r="H162" s="18" t="str">
        <f t="shared" si="17"/>
        <v/>
      </c>
    </row>
    <row r="163" spans="2:8">
      <c r="B163" s="3"/>
      <c r="C163" s="6"/>
      <c r="E163" t="str">
        <f t="shared" si="18"/>
        <v/>
      </c>
      <c r="F163" t="str">
        <f t="shared" si="19"/>
        <v/>
      </c>
      <c r="G163" t="str">
        <f t="shared" si="20"/>
        <v/>
      </c>
      <c r="H163" s="18" t="str">
        <f t="shared" si="17"/>
        <v/>
      </c>
    </row>
    <row r="164" spans="2:8">
      <c r="B164" s="3"/>
      <c r="C164" s="6"/>
      <c r="E164" t="str">
        <f t="shared" si="18"/>
        <v/>
      </c>
      <c r="F164" t="str">
        <f t="shared" si="19"/>
        <v/>
      </c>
      <c r="G164" t="str">
        <f t="shared" si="20"/>
        <v/>
      </c>
      <c r="H164" s="18" t="str">
        <f t="shared" si="17"/>
        <v/>
      </c>
    </row>
    <row r="165" spans="2:8">
      <c r="B165" s="3"/>
      <c r="C165" s="6"/>
      <c r="E165" t="str">
        <f t="shared" si="18"/>
        <v/>
      </c>
      <c r="F165" t="str">
        <f t="shared" si="19"/>
        <v/>
      </c>
      <c r="G165" t="str">
        <f t="shared" si="20"/>
        <v/>
      </c>
      <c r="H165" s="18" t="str">
        <f t="shared" si="17"/>
        <v/>
      </c>
    </row>
    <row r="166" spans="2:8">
      <c r="B166" s="3"/>
      <c r="C166" s="6"/>
      <c r="E166" t="str">
        <f t="shared" si="18"/>
        <v/>
      </c>
      <c r="F166" t="str">
        <f t="shared" si="19"/>
        <v/>
      </c>
      <c r="G166" t="str">
        <f t="shared" si="20"/>
        <v/>
      </c>
      <c r="H166" s="18" t="str">
        <f t="shared" si="17"/>
        <v/>
      </c>
    </row>
    <row r="167" spans="2:8">
      <c r="B167" s="3"/>
      <c r="C167" s="6"/>
      <c r="E167" t="str">
        <f t="shared" si="18"/>
        <v/>
      </c>
      <c r="F167" t="str">
        <f t="shared" si="19"/>
        <v/>
      </c>
      <c r="G167" t="str">
        <f t="shared" si="20"/>
        <v/>
      </c>
      <c r="H167" s="18" t="str">
        <f t="shared" si="17"/>
        <v/>
      </c>
    </row>
    <row r="168" spans="2:8">
      <c r="B168" s="3"/>
      <c r="C168" s="6"/>
      <c r="E168" t="str">
        <f t="shared" si="18"/>
        <v/>
      </c>
      <c r="F168" t="str">
        <f t="shared" si="19"/>
        <v/>
      </c>
      <c r="G168" t="str">
        <f t="shared" si="20"/>
        <v/>
      </c>
      <c r="H168" s="18" t="str">
        <f t="shared" si="17"/>
        <v/>
      </c>
    </row>
    <row r="169" spans="2:8">
      <c r="B169" s="3"/>
      <c r="C169" s="6"/>
      <c r="E169" t="str">
        <f t="shared" si="18"/>
        <v/>
      </c>
      <c r="F169" t="str">
        <f t="shared" si="19"/>
        <v/>
      </c>
      <c r="G169" t="str">
        <f t="shared" si="20"/>
        <v/>
      </c>
      <c r="H169" s="18" t="str">
        <f t="shared" si="17"/>
        <v/>
      </c>
    </row>
    <row r="170" spans="2:8">
      <c r="B170" s="3"/>
      <c r="C170" s="6"/>
      <c r="E170" t="str">
        <f t="shared" si="18"/>
        <v/>
      </c>
      <c r="F170" t="str">
        <f t="shared" si="19"/>
        <v/>
      </c>
      <c r="G170" t="str">
        <f t="shared" si="20"/>
        <v/>
      </c>
      <c r="H170" s="18" t="str">
        <f t="shared" si="17"/>
        <v/>
      </c>
    </row>
    <row r="171" spans="2:8">
      <c r="B171" s="3"/>
      <c r="C171" s="6"/>
      <c r="E171" t="str">
        <f t="shared" si="18"/>
        <v/>
      </c>
      <c r="F171" t="str">
        <f t="shared" si="19"/>
        <v/>
      </c>
      <c r="G171" t="str">
        <f t="shared" si="20"/>
        <v/>
      </c>
      <c r="H171" s="18" t="str">
        <f t="shared" si="17"/>
        <v/>
      </c>
    </row>
    <row r="172" spans="2:8">
      <c r="B172" s="3"/>
      <c r="C172" s="6"/>
      <c r="E172" t="str">
        <f t="shared" si="18"/>
        <v/>
      </c>
      <c r="F172" t="str">
        <f t="shared" si="19"/>
        <v/>
      </c>
      <c r="G172" t="str">
        <f t="shared" si="20"/>
        <v/>
      </c>
      <c r="H172" s="18" t="str">
        <f t="shared" si="17"/>
        <v/>
      </c>
    </row>
    <row r="173" spans="2:8">
      <c r="B173" s="3"/>
      <c r="C173" s="6"/>
      <c r="E173" t="str">
        <f t="shared" si="18"/>
        <v/>
      </c>
      <c r="F173" t="str">
        <f t="shared" si="19"/>
        <v/>
      </c>
      <c r="G173" t="str">
        <f t="shared" si="20"/>
        <v/>
      </c>
      <c r="H173" s="18" t="str">
        <f t="shared" si="17"/>
        <v/>
      </c>
    </row>
    <row r="174" spans="2:8">
      <c r="B174" s="3"/>
      <c r="C174" s="6"/>
      <c r="E174" t="str">
        <f t="shared" si="18"/>
        <v/>
      </c>
      <c r="F174" t="str">
        <f t="shared" si="19"/>
        <v/>
      </c>
      <c r="G174" t="str">
        <f t="shared" si="20"/>
        <v/>
      </c>
      <c r="H174" s="18" t="str">
        <f t="shared" si="17"/>
        <v/>
      </c>
    </row>
    <row r="175" spans="2:8">
      <c r="B175" s="3"/>
      <c r="C175" s="6"/>
      <c r="E175" t="str">
        <f t="shared" si="18"/>
        <v/>
      </c>
      <c r="F175" t="str">
        <f t="shared" si="19"/>
        <v/>
      </c>
      <c r="G175" t="str">
        <f t="shared" si="20"/>
        <v/>
      </c>
      <c r="H175" s="18" t="str">
        <f t="shared" si="17"/>
        <v/>
      </c>
    </row>
    <row r="176" spans="2:8">
      <c r="B176" s="3"/>
      <c r="C176" s="6"/>
      <c r="E176" t="str">
        <f t="shared" si="18"/>
        <v/>
      </c>
      <c r="F176" t="str">
        <f t="shared" si="19"/>
        <v/>
      </c>
      <c r="G176" t="str">
        <f t="shared" si="20"/>
        <v/>
      </c>
      <c r="H176" s="18" t="str">
        <f t="shared" si="17"/>
        <v/>
      </c>
    </row>
    <row r="177" spans="1:8">
      <c r="B177" s="3"/>
      <c r="C177" s="6"/>
      <c r="E177" t="str">
        <f t="shared" si="18"/>
        <v/>
      </c>
      <c r="F177" t="str">
        <f t="shared" si="19"/>
        <v/>
      </c>
      <c r="G177" t="str">
        <f t="shared" si="20"/>
        <v/>
      </c>
      <c r="H177" s="18" t="str">
        <f t="shared" si="17"/>
        <v/>
      </c>
    </row>
    <row r="178" spans="1:8">
      <c r="B178" s="3"/>
      <c r="C178" s="6"/>
      <c r="E178" t="str">
        <f t="shared" si="18"/>
        <v/>
      </c>
      <c r="F178" t="str">
        <f t="shared" si="19"/>
        <v/>
      </c>
      <c r="G178" t="str">
        <f t="shared" si="20"/>
        <v/>
      </c>
      <c r="H178" s="18" t="str">
        <f t="shared" si="17"/>
        <v/>
      </c>
    </row>
    <row r="179" spans="1:8">
      <c r="B179" s="3"/>
      <c r="C179" s="6"/>
      <c r="E179" t="str">
        <f t="shared" si="18"/>
        <v/>
      </c>
      <c r="F179" t="str">
        <f t="shared" si="19"/>
        <v/>
      </c>
      <c r="G179" t="str">
        <f t="shared" si="20"/>
        <v/>
      </c>
      <c r="H179" s="18" t="str">
        <f t="shared" si="17"/>
        <v/>
      </c>
    </row>
    <row r="180" spans="1:8">
      <c r="B180" s="3"/>
      <c r="C180" s="6"/>
      <c r="E180" t="str">
        <f t="shared" si="18"/>
        <v/>
      </c>
      <c r="F180" t="str">
        <f t="shared" si="19"/>
        <v/>
      </c>
      <c r="G180" t="str">
        <f t="shared" si="20"/>
        <v/>
      </c>
      <c r="H180" s="18" t="str">
        <f t="shared" si="17"/>
        <v/>
      </c>
    </row>
    <row r="181" spans="1:8">
      <c r="B181" s="3"/>
      <c r="C181" s="6"/>
      <c r="E181" t="str">
        <f t="shared" si="18"/>
        <v/>
      </c>
      <c r="F181" t="str">
        <f t="shared" si="19"/>
        <v/>
      </c>
      <c r="G181" t="str">
        <f t="shared" si="20"/>
        <v/>
      </c>
      <c r="H181" s="18" t="str">
        <f t="shared" si="17"/>
        <v/>
      </c>
    </row>
    <row r="182" spans="1:8">
      <c r="A182" s="11"/>
      <c r="B182" s="3"/>
      <c r="C182" s="6"/>
      <c r="E182" t="str">
        <f t="shared" si="18"/>
        <v/>
      </c>
      <c r="F182" t="str">
        <f t="shared" si="19"/>
        <v/>
      </c>
      <c r="G182" t="str">
        <f t="shared" si="20"/>
        <v/>
      </c>
      <c r="H182" s="18" t="str">
        <f t="shared" si="17"/>
        <v/>
      </c>
    </row>
    <row r="183" spans="1:8">
      <c r="B183" s="3"/>
      <c r="C183" s="6"/>
      <c r="E183" t="str">
        <f t="shared" si="18"/>
        <v/>
      </c>
      <c r="F183" t="str">
        <f t="shared" si="19"/>
        <v/>
      </c>
      <c r="G183" t="str">
        <f t="shared" si="20"/>
        <v/>
      </c>
      <c r="H183" s="18" t="str">
        <f t="shared" si="17"/>
        <v/>
      </c>
    </row>
    <row r="184" spans="1:8">
      <c r="B184" s="3"/>
      <c r="C184" s="6"/>
      <c r="E184" t="str">
        <f t="shared" si="18"/>
        <v/>
      </c>
      <c r="F184" t="str">
        <f t="shared" si="19"/>
        <v/>
      </c>
      <c r="G184" t="str">
        <f t="shared" si="20"/>
        <v/>
      </c>
      <c r="H184" s="18" t="str">
        <f t="shared" si="17"/>
        <v/>
      </c>
    </row>
    <row r="185" spans="1:8">
      <c r="B185" s="3"/>
      <c r="C185" s="6"/>
      <c r="E185" t="str">
        <f t="shared" si="18"/>
        <v/>
      </c>
      <c r="F185" t="str">
        <f t="shared" si="19"/>
        <v/>
      </c>
      <c r="G185" t="str">
        <f t="shared" si="20"/>
        <v/>
      </c>
      <c r="H185" s="18" t="str">
        <f t="shared" si="17"/>
        <v/>
      </c>
    </row>
    <row r="186" spans="1:8">
      <c r="B186" s="3"/>
      <c r="C186" s="6"/>
      <c r="E186" t="str">
        <f t="shared" si="18"/>
        <v/>
      </c>
      <c r="F186" t="str">
        <f t="shared" si="19"/>
        <v/>
      </c>
      <c r="G186" t="str">
        <f t="shared" si="20"/>
        <v/>
      </c>
      <c r="H186" s="18" t="str">
        <f t="shared" si="17"/>
        <v/>
      </c>
    </row>
    <row r="187" spans="1:8">
      <c r="B187" s="3"/>
      <c r="C187" s="6"/>
      <c r="E187" t="str">
        <f t="shared" si="18"/>
        <v/>
      </c>
      <c r="F187" t="str">
        <f t="shared" si="19"/>
        <v/>
      </c>
      <c r="G187" t="str">
        <f t="shared" si="20"/>
        <v/>
      </c>
      <c r="H187" s="18" t="str">
        <f t="shared" si="17"/>
        <v/>
      </c>
    </row>
    <row r="188" spans="1:8">
      <c r="B188" s="3"/>
      <c r="C188" s="6"/>
      <c r="E188" t="str">
        <f t="shared" si="18"/>
        <v/>
      </c>
      <c r="F188" t="str">
        <f t="shared" si="19"/>
        <v/>
      </c>
      <c r="G188" t="str">
        <f t="shared" si="20"/>
        <v/>
      </c>
      <c r="H188" s="18" t="str">
        <f t="shared" si="17"/>
        <v/>
      </c>
    </row>
    <row r="189" spans="1:8">
      <c r="B189" s="3"/>
      <c r="C189" s="6"/>
      <c r="E189" t="str">
        <f t="shared" si="18"/>
        <v/>
      </c>
      <c r="F189" t="str">
        <f t="shared" si="19"/>
        <v/>
      </c>
      <c r="G189" t="str">
        <f t="shared" si="20"/>
        <v/>
      </c>
      <c r="H189" s="18" t="str">
        <f t="shared" si="17"/>
        <v/>
      </c>
    </row>
    <row r="190" spans="1:8">
      <c r="B190" s="3"/>
      <c r="C190" s="6"/>
      <c r="E190" t="str">
        <f t="shared" si="18"/>
        <v/>
      </c>
      <c r="F190" t="str">
        <f t="shared" si="19"/>
        <v/>
      </c>
      <c r="G190" t="str">
        <f t="shared" si="20"/>
        <v/>
      </c>
      <c r="H190" s="18" t="str">
        <f t="shared" si="17"/>
        <v/>
      </c>
    </row>
    <row r="191" spans="1:8">
      <c r="B191" s="3"/>
      <c r="C191" s="6"/>
      <c r="E191" t="str">
        <f t="shared" si="18"/>
        <v/>
      </c>
      <c r="F191" t="str">
        <f t="shared" si="19"/>
        <v/>
      </c>
      <c r="G191" t="str">
        <f t="shared" si="20"/>
        <v/>
      </c>
      <c r="H191" s="18" t="str">
        <f t="shared" si="17"/>
        <v/>
      </c>
    </row>
    <row r="192" spans="1:8">
      <c r="B192" s="3"/>
      <c r="C192" s="6"/>
      <c r="E192" t="str">
        <f t="shared" si="18"/>
        <v/>
      </c>
      <c r="F192" t="str">
        <f t="shared" si="19"/>
        <v/>
      </c>
      <c r="G192" t="str">
        <f t="shared" si="20"/>
        <v/>
      </c>
      <c r="H192" s="18" t="str">
        <f t="shared" si="17"/>
        <v/>
      </c>
    </row>
    <row r="193" spans="1:8">
      <c r="B193" s="3"/>
      <c r="C193" s="6"/>
      <c r="E193" t="str">
        <f t="shared" si="18"/>
        <v/>
      </c>
      <c r="F193" t="str">
        <f t="shared" si="19"/>
        <v/>
      </c>
      <c r="G193" t="str">
        <f t="shared" si="20"/>
        <v/>
      </c>
      <c r="H193" s="18" t="str">
        <f t="shared" si="17"/>
        <v/>
      </c>
    </row>
    <row r="194" spans="1:8">
      <c r="B194" s="3"/>
      <c r="C194" s="6"/>
      <c r="E194" t="str">
        <f t="shared" ref="E194:E200" si="21">IF(A194="","",IF(VLOOKUP(A194,ilmoittautuneet,2,0)="","",VLOOKUP(A194,ilmoittautuneet,2,0)))</f>
        <v/>
      </c>
      <c r="F194" t="str">
        <f t="shared" ref="F194:F200" si="22">IF(A194="","",IF(VLOOKUP(A194,ilmoittautuneet,3,)="","",VLOOKUP(A194,ilmoittautuneet,3)))</f>
        <v/>
      </c>
      <c r="G194" t="str">
        <f t="shared" ref="G194:G200" si="23">IF(A194="","",IF(VLOOKUP(A194,ilmoittautuneet,4,)="","",VLOOKUP(A194,ilmoittautuneet,4)))</f>
        <v/>
      </c>
      <c r="H194" s="18" t="str">
        <f t="shared" ref="H194:H200" si="24">IF(C194&lt;&gt;"",C194-VLOOKUP(A194,ilmoittautuneet,5),IF(A194="","",B194-VLOOKUP(A194,ilmoittautuneet,5)))</f>
        <v/>
      </c>
    </row>
    <row r="195" spans="1:8">
      <c r="B195" s="3"/>
      <c r="C195" s="6"/>
      <c r="E195" t="str">
        <f t="shared" si="21"/>
        <v/>
      </c>
      <c r="F195" t="str">
        <f t="shared" si="22"/>
        <v/>
      </c>
      <c r="G195" t="str">
        <f t="shared" si="23"/>
        <v/>
      </c>
      <c r="H195" s="18" t="str">
        <f t="shared" si="24"/>
        <v/>
      </c>
    </row>
    <row r="196" spans="1:8">
      <c r="B196" s="3"/>
      <c r="C196" s="6"/>
      <c r="E196" t="str">
        <f t="shared" si="21"/>
        <v/>
      </c>
      <c r="F196" t="str">
        <f t="shared" si="22"/>
        <v/>
      </c>
      <c r="G196" t="str">
        <f t="shared" si="23"/>
        <v/>
      </c>
      <c r="H196" s="18" t="str">
        <f t="shared" si="24"/>
        <v/>
      </c>
    </row>
    <row r="197" spans="1:8">
      <c r="B197" s="3"/>
      <c r="C197" s="6"/>
      <c r="E197" t="str">
        <f t="shared" si="21"/>
        <v/>
      </c>
      <c r="F197" t="str">
        <f t="shared" si="22"/>
        <v/>
      </c>
      <c r="G197" t="str">
        <f t="shared" si="23"/>
        <v/>
      </c>
      <c r="H197" s="18" t="str">
        <f t="shared" si="24"/>
        <v/>
      </c>
    </row>
    <row r="198" spans="1:8">
      <c r="B198" s="3"/>
      <c r="C198" s="6"/>
      <c r="E198" t="str">
        <f t="shared" si="21"/>
        <v/>
      </c>
      <c r="F198" t="str">
        <f t="shared" si="22"/>
        <v/>
      </c>
      <c r="G198" t="str">
        <f t="shared" si="23"/>
        <v/>
      </c>
      <c r="H198" s="18" t="str">
        <f t="shared" si="24"/>
        <v/>
      </c>
    </row>
    <row r="199" spans="1:8">
      <c r="B199" s="3"/>
      <c r="C199" s="6"/>
      <c r="E199" t="str">
        <f t="shared" si="21"/>
        <v/>
      </c>
      <c r="F199" t="str">
        <f t="shared" si="22"/>
        <v/>
      </c>
      <c r="G199" t="str">
        <f t="shared" si="23"/>
        <v/>
      </c>
      <c r="H199" s="18" t="str">
        <f t="shared" si="24"/>
        <v/>
      </c>
    </row>
    <row r="200" spans="1:8">
      <c r="B200" s="3"/>
      <c r="C200" s="6"/>
      <c r="E200" t="str">
        <f t="shared" si="21"/>
        <v/>
      </c>
      <c r="F200" t="str">
        <f t="shared" si="22"/>
        <v/>
      </c>
      <c r="G200" t="str">
        <f t="shared" si="23"/>
        <v/>
      </c>
      <c r="H200" s="18" t="str">
        <f t="shared" si="24"/>
        <v/>
      </c>
    </row>
    <row r="201" spans="1:8" s="5" customFormat="1">
      <c r="A201" s="4"/>
      <c r="B201" s="3"/>
      <c r="H201" s="16"/>
    </row>
    <row r="202" spans="1:8">
      <c r="B202" s="3"/>
    </row>
    <row r="203" spans="1:8">
      <c r="B203" s="3"/>
    </row>
    <row r="204" spans="1:8">
      <c r="B204" s="3"/>
    </row>
    <row r="205" spans="1:8">
      <c r="B205" s="3"/>
    </row>
    <row r="206" spans="1:8">
      <c r="B206" s="3"/>
    </row>
    <row r="207" spans="1:8">
      <c r="B207" s="3"/>
    </row>
    <row r="208" spans="1:8">
      <c r="B208" s="3"/>
    </row>
    <row r="209" spans="2:2">
      <c r="B209" s="3"/>
    </row>
    <row r="210" spans="2:2">
      <c r="B210" s="3"/>
    </row>
    <row r="211" spans="2:2">
      <c r="B211" s="3"/>
    </row>
    <row r="212" spans="2:2">
      <c r="B212" s="3"/>
    </row>
    <row r="213" spans="2:2">
      <c r="B213" s="3"/>
    </row>
    <row r="214" spans="2:2">
      <c r="B214" s="3"/>
    </row>
    <row r="215" spans="2:2">
      <c r="B215" s="3"/>
    </row>
    <row r="216" spans="2:2">
      <c r="B216" s="3"/>
    </row>
    <row r="217" spans="2:2">
      <c r="B217" s="3"/>
    </row>
    <row r="218" spans="2:2">
      <c r="B218" s="3"/>
    </row>
    <row r="219" spans="2:2">
      <c r="B219" s="3"/>
    </row>
    <row r="220" spans="2:2">
      <c r="B220" s="3"/>
    </row>
    <row r="221" spans="2:2">
      <c r="B221" s="3"/>
    </row>
    <row r="222" spans="2:2">
      <c r="B222" s="3"/>
    </row>
    <row r="223" spans="2:2">
      <c r="B223" s="3"/>
    </row>
    <row r="224" spans="2:2">
      <c r="B224" s="3"/>
    </row>
    <row r="1048576" spans="2:2">
      <c r="B1048576" s="3">
        <v>0.46459490740740739</v>
      </c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>
    <oddHeader>&amp;C&amp;A</oddHeader>
    <oddFooter>&amp;CSivu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00"/>
  <sheetViews>
    <sheetView zoomScale="132" zoomScaleNormal="115" workbookViewId="0">
      <selection activeCell="A7" sqref="A7:E10"/>
    </sheetView>
  </sheetViews>
  <sheetFormatPr defaultRowHeight="12.75"/>
  <cols>
    <col min="1" max="1" width="11.5703125"/>
    <col min="2" max="2" width="20.28515625" customWidth="1"/>
    <col min="3" max="3" width="16.42578125" customWidth="1"/>
    <col min="4" max="4" width="19" customWidth="1"/>
    <col min="5" max="5" width="13.85546875" customWidth="1"/>
    <col min="6" max="1025" width="11.5703125"/>
  </cols>
  <sheetData>
    <row r="1" spans="1: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>
      <c r="A2">
        <v>5</v>
      </c>
      <c r="B2" t="str">
        <f t="shared" ref="B2:B33" si="0">IF(VLOOKUP(A6,ilmoittautuneet,2,0)="","",VLOOKUP(A6,ilmoittautuneet,2,0))</f>
        <v/>
      </c>
      <c r="C2" t="str">
        <f t="shared" ref="C2:C33" si="1">IF(VLOOKUP(A6,ilmoittautuneet,3,0)="","",VLOOKUP(A6,ilmoittautuneet,3,0))</f>
        <v/>
      </c>
      <c r="D2" t="str">
        <f t="shared" ref="D2:D33" si="2">IF(VLOOKUP(A2,ilmoittautuneet,4,0)="","",VLOOKUP(A2,ilmoittautuneet,4,0))</f>
        <v/>
      </c>
      <c r="E2" s="3" t="str">
        <f t="shared" ref="E2:E33" si="3">_xlfn.IFNA(VLOOKUP(A2,ajanottotaulukko,8,0),"")</f>
        <v/>
      </c>
    </row>
    <row r="3" spans="1:5">
      <c r="A3">
        <v>6</v>
      </c>
      <c r="B3" t="str">
        <f t="shared" si="0"/>
        <v/>
      </c>
      <c r="C3" t="str">
        <f t="shared" si="1"/>
        <v/>
      </c>
      <c r="D3" t="str">
        <f t="shared" si="2"/>
        <v/>
      </c>
      <c r="E3" s="3" t="str">
        <f t="shared" si="3"/>
        <v/>
      </c>
    </row>
    <row r="4" spans="1:5">
      <c r="A4">
        <v>7</v>
      </c>
      <c r="B4" t="str">
        <f t="shared" si="0"/>
        <v/>
      </c>
      <c r="C4" t="str">
        <f t="shared" si="1"/>
        <v/>
      </c>
      <c r="D4" t="str">
        <f t="shared" si="2"/>
        <v/>
      </c>
      <c r="E4" s="3" t="str">
        <f t="shared" si="3"/>
        <v/>
      </c>
    </row>
    <row r="5" spans="1:5">
      <c r="A5">
        <v>8</v>
      </c>
      <c r="B5" t="str">
        <f t="shared" si="0"/>
        <v/>
      </c>
      <c r="C5" t="str">
        <f t="shared" si="1"/>
        <v/>
      </c>
      <c r="D5" t="str">
        <f t="shared" si="2"/>
        <v/>
      </c>
      <c r="E5" s="3" t="str">
        <f t="shared" si="3"/>
        <v/>
      </c>
    </row>
    <row r="6" spans="1:5">
      <c r="A6">
        <v>9</v>
      </c>
      <c r="B6" t="str">
        <f t="shared" si="0"/>
        <v/>
      </c>
      <c r="C6" t="str">
        <f t="shared" si="1"/>
        <v/>
      </c>
      <c r="D6" t="str">
        <f t="shared" si="2"/>
        <v/>
      </c>
      <c r="E6" s="3" t="str">
        <f t="shared" si="3"/>
        <v/>
      </c>
    </row>
    <row r="7" spans="1:5">
      <c r="A7">
        <v>10</v>
      </c>
      <c r="B7" t="str">
        <f>IF(VLOOKUP(A11,ilmoittautuneet,2,0)="","",VLOOKUP(A11,ilmoittautuneet,2,0))</f>
        <v/>
      </c>
      <c r="C7" t="str">
        <f>IF(VLOOKUP(A11,ilmoittautuneet,3,0)="","",VLOOKUP(A11,ilmoittautuneet,3,0))</f>
        <v/>
      </c>
      <c r="D7" t="str">
        <f>IF(VLOOKUP(A7,ilmoittautuneet,4,0)="","",VLOOKUP(A7,ilmoittautuneet,4,0))</f>
        <v/>
      </c>
      <c r="E7" s="3" t="str">
        <f>_xlfn.IFNA(VLOOKUP(A7,ajanottotaulukko,8,0),"")</f>
        <v/>
      </c>
    </row>
    <row r="8" spans="1:5">
      <c r="A8">
        <v>11</v>
      </c>
      <c r="B8" t="str">
        <f>IF(VLOOKUP(A12,ilmoittautuneet,2,0)="","",VLOOKUP(A12,ilmoittautuneet,2,0))</f>
        <v/>
      </c>
      <c r="C8" t="str">
        <f>IF(VLOOKUP(A12,ilmoittautuneet,3,0)="","",VLOOKUP(A12,ilmoittautuneet,3,0))</f>
        <v/>
      </c>
      <c r="D8" t="str">
        <f>IF(VLOOKUP(A8,ilmoittautuneet,4,0)="","",VLOOKUP(A8,ilmoittautuneet,4,0))</f>
        <v/>
      </c>
      <c r="E8" s="3" t="str">
        <f>_xlfn.IFNA(VLOOKUP(A8,ajanottotaulukko,8,0),"")</f>
        <v/>
      </c>
    </row>
    <row r="9" spans="1:5">
      <c r="A9">
        <v>12</v>
      </c>
      <c r="B9" t="str">
        <f>IF(VLOOKUP(A13,ilmoittautuneet,2,0)="","",VLOOKUP(A13,ilmoittautuneet,2,0))</f>
        <v/>
      </c>
      <c r="C9" t="str">
        <f>IF(VLOOKUP(A13,ilmoittautuneet,3,0)="","",VLOOKUP(A13,ilmoittautuneet,3,0))</f>
        <v/>
      </c>
      <c r="D9" t="str">
        <f>IF(VLOOKUP(A9,ilmoittautuneet,4,0)="","",VLOOKUP(A9,ilmoittautuneet,4,0))</f>
        <v/>
      </c>
      <c r="E9" s="3" t="str">
        <f>_xlfn.IFNA(VLOOKUP(A9,ajanottotaulukko,8,0),"")</f>
        <v/>
      </c>
    </row>
    <row r="10" spans="1:5">
      <c r="A10">
        <v>13</v>
      </c>
      <c r="B10" t="str">
        <f>IF(VLOOKUP(A14,ilmoittautuneet,2,0)="","",VLOOKUP(A14,ilmoittautuneet,2,0))</f>
        <v/>
      </c>
      <c r="C10" t="str">
        <f>IF(VLOOKUP(A14,ilmoittautuneet,3,0)="","",VLOOKUP(A14,ilmoittautuneet,3,0))</f>
        <v/>
      </c>
      <c r="D10" t="str">
        <f>IF(VLOOKUP(A10,ilmoittautuneet,4,0)="","",VLOOKUP(A10,ilmoittautuneet,4,0))</f>
        <v/>
      </c>
      <c r="E10" s="3" t="str">
        <f>_xlfn.IFNA(VLOOKUP(A10,ajanottotaulukko,8,0),"")</f>
        <v/>
      </c>
    </row>
    <row r="11" spans="1:5">
      <c r="A11">
        <v>14</v>
      </c>
      <c r="B11" t="str">
        <f t="shared" si="0"/>
        <v/>
      </c>
      <c r="C11" t="str">
        <f t="shared" si="1"/>
        <v/>
      </c>
      <c r="D11" t="str">
        <f t="shared" si="2"/>
        <v/>
      </c>
      <c r="E11" s="3" t="str">
        <f t="shared" si="3"/>
        <v/>
      </c>
    </row>
    <row r="12" spans="1:5">
      <c r="A12">
        <v>15</v>
      </c>
      <c r="B12" t="str">
        <f t="shared" si="0"/>
        <v/>
      </c>
      <c r="C12" t="str">
        <f t="shared" si="1"/>
        <v/>
      </c>
      <c r="D12" t="str">
        <f t="shared" si="2"/>
        <v/>
      </c>
      <c r="E12" s="3" t="str">
        <f t="shared" si="3"/>
        <v/>
      </c>
    </row>
    <row r="13" spans="1:5">
      <c r="A13">
        <v>16</v>
      </c>
      <c r="B13" t="str">
        <f t="shared" si="0"/>
        <v/>
      </c>
      <c r="C13" t="str">
        <f t="shared" si="1"/>
        <v/>
      </c>
      <c r="D13" t="str">
        <f t="shared" si="2"/>
        <v/>
      </c>
      <c r="E13" s="3" t="str">
        <f t="shared" si="3"/>
        <v/>
      </c>
    </row>
    <row r="14" spans="1:5">
      <c r="A14">
        <v>17</v>
      </c>
      <c r="B14" t="str">
        <f t="shared" si="0"/>
        <v/>
      </c>
      <c r="C14" t="str">
        <f t="shared" si="1"/>
        <v/>
      </c>
      <c r="D14" t="str">
        <f t="shared" si="2"/>
        <v/>
      </c>
      <c r="E14" s="3" t="str">
        <f t="shared" si="3"/>
        <v/>
      </c>
    </row>
    <row r="15" spans="1:5">
      <c r="A15">
        <v>18</v>
      </c>
      <c r="B15" t="str">
        <f t="shared" si="0"/>
        <v/>
      </c>
      <c r="C15" t="str">
        <f t="shared" si="1"/>
        <v/>
      </c>
      <c r="D15" t="str">
        <f t="shared" si="2"/>
        <v/>
      </c>
      <c r="E15" s="3" t="str">
        <f t="shared" si="3"/>
        <v/>
      </c>
    </row>
    <row r="16" spans="1:5">
      <c r="A16">
        <v>19</v>
      </c>
      <c r="B16" t="str">
        <f t="shared" si="0"/>
        <v/>
      </c>
      <c r="C16" t="str">
        <f t="shared" si="1"/>
        <v/>
      </c>
      <c r="D16" t="str">
        <f t="shared" si="2"/>
        <v/>
      </c>
      <c r="E16" s="3" t="str">
        <f t="shared" si="3"/>
        <v/>
      </c>
    </row>
    <row r="17" spans="1:5">
      <c r="A17">
        <v>20</v>
      </c>
      <c r="B17" t="str">
        <f t="shared" si="0"/>
        <v/>
      </c>
      <c r="C17" t="str">
        <f t="shared" si="1"/>
        <v/>
      </c>
      <c r="D17" t="str">
        <f t="shared" si="2"/>
        <v/>
      </c>
      <c r="E17" s="3" t="str">
        <f t="shared" si="3"/>
        <v/>
      </c>
    </row>
    <row r="18" spans="1:5">
      <c r="A18">
        <v>21</v>
      </c>
      <c r="B18" t="str">
        <f t="shared" si="0"/>
        <v/>
      </c>
      <c r="C18" t="str">
        <f t="shared" si="1"/>
        <v/>
      </c>
      <c r="D18" t="str">
        <f t="shared" si="2"/>
        <v/>
      </c>
      <c r="E18" s="3" t="str">
        <f t="shared" si="3"/>
        <v/>
      </c>
    </row>
    <row r="19" spans="1:5">
      <c r="A19">
        <v>22</v>
      </c>
      <c r="B19" t="str">
        <f t="shared" si="0"/>
        <v/>
      </c>
      <c r="C19" t="str">
        <f t="shared" si="1"/>
        <v/>
      </c>
      <c r="D19" t="str">
        <f t="shared" si="2"/>
        <v/>
      </c>
      <c r="E19" s="3" t="str">
        <f t="shared" si="3"/>
        <v/>
      </c>
    </row>
    <row r="20" spans="1:5">
      <c r="A20">
        <v>23</v>
      </c>
      <c r="B20" t="str">
        <f t="shared" si="0"/>
        <v/>
      </c>
      <c r="C20" t="str">
        <f t="shared" si="1"/>
        <v/>
      </c>
      <c r="D20" t="str">
        <f t="shared" si="2"/>
        <v/>
      </c>
      <c r="E20" s="3" t="str">
        <f t="shared" si="3"/>
        <v/>
      </c>
    </row>
    <row r="21" spans="1:5">
      <c r="A21">
        <v>24</v>
      </c>
      <c r="B21" t="str">
        <f t="shared" si="0"/>
        <v/>
      </c>
      <c r="C21" t="str">
        <f t="shared" si="1"/>
        <v/>
      </c>
      <c r="D21" t="str">
        <f t="shared" si="2"/>
        <v/>
      </c>
      <c r="E21" s="3" t="str">
        <f t="shared" si="3"/>
        <v/>
      </c>
    </row>
    <row r="22" spans="1:5">
      <c r="A22">
        <v>25</v>
      </c>
      <c r="B22" t="str">
        <f t="shared" si="0"/>
        <v/>
      </c>
      <c r="C22" t="str">
        <f t="shared" si="1"/>
        <v/>
      </c>
      <c r="D22" t="str">
        <f t="shared" si="2"/>
        <v/>
      </c>
      <c r="E22" s="3" t="str">
        <f t="shared" si="3"/>
        <v/>
      </c>
    </row>
    <row r="23" spans="1:5">
      <c r="A23">
        <v>26</v>
      </c>
      <c r="B23" t="str">
        <f t="shared" si="0"/>
        <v/>
      </c>
      <c r="C23" t="str">
        <f t="shared" si="1"/>
        <v/>
      </c>
      <c r="D23" t="str">
        <f t="shared" si="2"/>
        <v/>
      </c>
      <c r="E23" s="3" t="str">
        <f t="shared" si="3"/>
        <v/>
      </c>
    </row>
    <row r="24" spans="1:5">
      <c r="A24">
        <v>27</v>
      </c>
      <c r="B24" t="str">
        <f t="shared" si="0"/>
        <v/>
      </c>
      <c r="C24" t="str">
        <f t="shared" si="1"/>
        <v/>
      </c>
      <c r="D24" t="str">
        <f t="shared" si="2"/>
        <v/>
      </c>
      <c r="E24" s="3" t="str">
        <f t="shared" si="3"/>
        <v/>
      </c>
    </row>
    <row r="25" spans="1:5">
      <c r="A25">
        <v>28</v>
      </c>
      <c r="B25" t="str">
        <f t="shared" si="0"/>
        <v/>
      </c>
      <c r="C25" t="str">
        <f t="shared" si="1"/>
        <v/>
      </c>
      <c r="D25" t="str">
        <f t="shared" si="2"/>
        <v/>
      </c>
      <c r="E25" s="3" t="str">
        <f t="shared" si="3"/>
        <v/>
      </c>
    </row>
    <row r="26" spans="1:5">
      <c r="A26">
        <v>29</v>
      </c>
      <c r="B26" t="str">
        <f t="shared" si="0"/>
        <v/>
      </c>
      <c r="C26" t="str">
        <f t="shared" si="1"/>
        <v/>
      </c>
      <c r="D26" t="str">
        <f t="shared" si="2"/>
        <v/>
      </c>
      <c r="E26" s="3" t="str">
        <f t="shared" si="3"/>
        <v/>
      </c>
    </row>
    <row r="27" spans="1:5">
      <c r="A27">
        <v>30</v>
      </c>
      <c r="B27" t="str">
        <f t="shared" si="0"/>
        <v/>
      </c>
      <c r="C27" t="str">
        <f t="shared" si="1"/>
        <v/>
      </c>
      <c r="D27" t="str">
        <f t="shared" si="2"/>
        <v/>
      </c>
      <c r="E27" s="3" t="str">
        <f t="shared" si="3"/>
        <v/>
      </c>
    </row>
    <row r="28" spans="1:5">
      <c r="A28">
        <v>31</v>
      </c>
      <c r="B28" t="str">
        <f t="shared" si="0"/>
        <v/>
      </c>
      <c r="C28" t="str">
        <f t="shared" si="1"/>
        <v/>
      </c>
      <c r="D28" t="str">
        <f t="shared" si="2"/>
        <v/>
      </c>
      <c r="E28" s="3" t="str">
        <f t="shared" si="3"/>
        <v/>
      </c>
    </row>
    <row r="29" spans="1:5">
      <c r="A29">
        <v>32</v>
      </c>
      <c r="B29" t="str">
        <f t="shared" si="0"/>
        <v/>
      </c>
      <c r="C29" t="str">
        <f t="shared" si="1"/>
        <v/>
      </c>
      <c r="D29" t="str">
        <f t="shared" si="2"/>
        <v/>
      </c>
      <c r="E29" s="3" t="str">
        <f t="shared" si="3"/>
        <v/>
      </c>
    </row>
    <row r="30" spans="1:5">
      <c r="A30">
        <v>33</v>
      </c>
      <c r="B30" t="str">
        <f t="shared" si="0"/>
        <v/>
      </c>
      <c r="C30" t="str">
        <f t="shared" si="1"/>
        <v/>
      </c>
      <c r="D30" t="str">
        <f t="shared" si="2"/>
        <v/>
      </c>
      <c r="E30" s="3" t="str">
        <f t="shared" si="3"/>
        <v/>
      </c>
    </row>
    <row r="31" spans="1:5">
      <c r="A31">
        <v>34</v>
      </c>
      <c r="B31" t="str">
        <f t="shared" si="0"/>
        <v/>
      </c>
      <c r="C31" t="str">
        <f t="shared" si="1"/>
        <v/>
      </c>
      <c r="D31" t="str">
        <f t="shared" si="2"/>
        <v/>
      </c>
      <c r="E31" s="3" t="str">
        <f t="shared" si="3"/>
        <v/>
      </c>
    </row>
    <row r="32" spans="1:5">
      <c r="A32">
        <v>35</v>
      </c>
      <c r="B32" t="str">
        <f t="shared" si="0"/>
        <v/>
      </c>
      <c r="C32" t="str">
        <f t="shared" si="1"/>
        <v/>
      </c>
      <c r="D32" t="str">
        <f t="shared" si="2"/>
        <v/>
      </c>
      <c r="E32" s="3" t="str">
        <f t="shared" si="3"/>
        <v/>
      </c>
    </row>
    <row r="33" spans="1:5">
      <c r="A33">
        <v>36</v>
      </c>
      <c r="B33" t="str">
        <f t="shared" si="0"/>
        <v/>
      </c>
      <c r="C33" t="str">
        <f t="shared" si="1"/>
        <v/>
      </c>
      <c r="D33" t="str">
        <f t="shared" si="2"/>
        <v/>
      </c>
      <c r="E33" s="3" t="str">
        <f t="shared" si="3"/>
        <v/>
      </c>
    </row>
    <row r="34" spans="1:5">
      <c r="A34">
        <v>37</v>
      </c>
      <c r="B34" t="str">
        <f t="shared" ref="B34:B65" si="4">IF(VLOOKUP(A38,ilmoittautuneet,2,0)="","",VLOOKUP(A38,ilmoittautuneet,2,0))</f>
        <v/>
      </c>
      <c r="C34" t="str">
        <f t="shared" ref="C34:C65" si="5">IF(VLOOKUP(A38,ilmoittautuneet,3,0)="","",VLOOKUP(A38,ilmoittautuneet,3,0))</f>
        <v/>
      </c>
      <c r="D34" t="str">
        <f t="shared" ref="D34:D65" si="6">IF(VLOOKUP(A34,ilmoittautuneet,4,0)="","",VLOOKUP(A34,ilmoittautuneet,4,0))</f>
        <v/>
      </c>
      <c r="E34" s="3" t="str">
        <f t="shared" ref="E34:E65" si="7">_xlfn.IFNA(VLOOKUP(A34,ajanottotaulukko,8,0),"")</f>
        <v/>
      </c>
    </row>
    <row r="35" spans="1:5">
      <c r="A35">
        <v>38</v>
      </c>
      <c r="B35" t="str">
        <f t="shared" si="4"/>
        <v/>
      </c>
      <c r="C35" t="str">
        <f t="shared" si="5"/>
        <v/>
      </c>
      <c r="D35" t="str">
        <f t="shared" si="6"/>
        <v/>
      </c>
      <c r="E35" s="3" t="str">
        <f t="shared" si="7"/>
        <v/>
      </c>
    </row>
    <row r="36" spans="1:5">
      <c r="A36">
        <v>39</v>
      </c>
      <c r="B36" t="str">
        <f t="shared" si="4"/>
        <v/>
      </c>
      <c r="C36" t="str">
        <f t="shared" si="5"/>
        <v/>
      </c>
      <c r="D36" t="str">
        <f t="shared" si="6"/>
        <v/>
      </c>
      <c r="E36" s="3" t="str">
        <f t="shared" si="7"/>
        <v/>
      </c>
    </row>
    <row r="37" spans="1:5">
      <c r="A37">
        <v>40</v>
      </c>
      <c r="B37" t="str">
        <f t="shared" si="4"/>
        <v/>
      </c>
      <c r="C37" t="str">
        <f t="shared" si="5"/>
        <v/>
      </c>
      <c r="D37" t="str">
        <f t="shared" si="6"/>
        <v/>
      </c>
      <c r="E37" s="3" t="str">
        <f t="shared" si="7"/>
        <v/>
      </c>
    </row>
    <row r="38" spans="1:5">
      <c r="A38">
        <v>41</v>
      </c>
      <c r="B38" t="str">
        <f t="shared" si="4"/>
        <v/>
      </c>
      <c r="C38" t="str">
        <f t="shared" si="5"/>
        <v/>
      </c>
      <c r="D38" t="str">
        <f t="shared" si="6"/>
        <v/>
      </c>
      <c r="E38" s="3" t="str">
        <f t="shared" si="7"/>
        <v/>
      </c>
    </row>
    <row r="39" spans="1:5">
      <c r="A39">
        <v>42</v>
      </c>
      <c r="B39" t="str">
        <f t="shared" si="4"/>
        <v/>
      </c>
      <c r="C39" t="str">
        <f t="shared" si="5"/>
        <v/>
      </c>
      <c r="D39" t="str">
        <f t="shared" si="6"/>
        <v/>
      </c>
      <c r="E39" s="3" t="str">
        <f t="shared" si="7"/>
        <v/>
      </c>
    </row>
    <row r="40" spans="1:5">
      <c r="A40">
        <v>43</v>
      </c>
      <c r="B40" t="str">
        <f t="shared" si="4"/>
        <v/>
      </c>
      <c r="C40" t="str">
        <f t="shared" si="5"/>
        <v/>
      </c>
      <c r="D40" t="str">
        <f t="shared" si="6"/>
        <v/>
      </c>
      <c r="E40" s="3" t="str">
        <f t="shared" si="7"/>
        <v/>
      </c>
    </row>
    <row r="41" spans="1:5">
      <c r="A41">
        <v>44</v>
      </c>
      <c r="B41" t="str">
        <f t="shared" si="4"/>
        <v/>
      </c>
      <c r="C41" t="str">
        <f t="shared" si="5"/>
        <v/>
      </c>
      <c r="D41" t="str">
        <f t="shared" si="6"/>
        <v/>
      </c>
      <c r="E41" s="3" t="str">
        <f t="shared" si="7"/>
        <v/>
      </c>
    </row>
    <row r="42" spans="1:5">
      <c r="A42">
        <v>45</v>
      </c>
      <c r="B42" t="str">
        <f t="shared" si="4"/>
        <v/>
      </c>
      <c r="C42" t="str">
        <f t="shared" si="5"/>
        <v/>
      </c>
      <c r="D42" t="str">
        <f t="shared" si="6"/>
        <v/>
      </c>
      <c r="E42" s="3" t="str">
        <f t="shared" si="7"/>
        <v/>
      </c>
    </row>
    <row r="43" spans="1:5">
      <c r="A43">
        <v>46</v>
      </c>
      <c r="B43" t="str">
        <f t="shared" si="4"/>
        <v/>
      </c>
      <c r="C43" t="str">
        <f t="shared" si="5"/>
        <v/>
      </c>
      <c r="D43" t="str">
        <f t="shared" si="6"/>
        <v/>
      </c>
      <c r="E43" s="3" t="str">
        <f t="shared" si="7"/>
        <v/>
      </c>
    </row>
    <row r="44" spans="1:5">
      <c r="A44">
        <v>47</v>
      </c>
      <c r="B44" t="str">
        <f t="shared" si="4"/>
        <v/>
      </c>
      <c r="C44" t="str">
        <f t="shared" si="5"/>
        <v/>
      </c>
      <c r="D44" t="str">
        <f t="shared" si="6"/>
        <v/>
      </c>
      <c r="E44" s="3" t="str">
        <f t="shared" si="7"/>
        <v/>
      </c>
    </row>
    <row r="45" spans="1:5">
      <c r="A45">
        <v>48</v>
      </c>
      <c r="B45" t="str">
        <f t="shared" si="4"/>
        <v/>
      </c>
      <c r="C45" t="str">
        <f t="shared" si="5"/>
        <v/>
      </c>
      <c r="D45" t="str">
        <f t="shared" si="6"/>
        <v/>
      </c>
      <c r="E45" s="3" t="str">
        <f t="shared" si="7"/>
        <v/>
      </c>
    </row>
    <row r="46" spans="1:5">
      <c r="A46">
        <v>49</v>
      </c>
      <c r="B46" t="str">
        <f t="shared" si="4"/>
        <v/>
      </c>
      <c r="C46" t="str">
        <f t="shared" si="5"/>
        <v/>
      </c>
      <c r="D46" t="str">
        <f t="shared" si="6"/>
        <v/>
      </c>
      <c r="E46" s="3" t="str">
        <f t="shared" si="7"/>
        <v/>
      </c>
    </row>
    <row r="47" spans="1:5">
      <c r="A47">
        <v>50</v>
      </c>
      <c r="B47" t="str">
        <f t="shared" si="4"/>
        <v/>
      </c>
      <c r="C47" t="str">
        <f t="shared" si="5"/>
        <v/>
      </c>
      <c r="D47" t="str">
        <f t="shared" si="6"/>
        <v/>
      </c>
      <c r="E47" s="3" t="str">
        <f t="shared" si="7"/>
        <v/>
      </c>
    </row>
    <row r="48" spans="1:5">
      <c r="A48">
        <v>51</v>
      </c>
      <c r="B48" t="str">
        <f t="shared" si="4"/>
        <v/>
      </c>
      <c r="C48" t="str">
        <f t="shared" si="5"/>
        <v/>
      </c>
      <c r="D48" t="str">
        <f t="shared" si="6"/>
        <v/>
      </c>
      <c r="E48" s="3" t="str">
        <f t="shared" si="7"/>
        <v/>
      </c>
    </row>
    <row r="49" spans="1:5">
      <c r="A49">
        <v>52</v>
      </c>
      <c r="B49" t="str">
        <f t="shared" si="4"/>
        <v/>
      </c>
      <c r="C49" t="str">
        <f t="shared" si="5"/>
        <v/>
      </c>
      <c r="D49" t="str">
        <f t="shared" si="6"/>
        <v/>
      </c>
      <c r="E49" s="3" t="str">
        <f t="shared" si="7"/>
        <v/>
      </c>
    </row>
    <row r="50" spans="1:5">
      <c r="A50">
        <v>53</v>
      </c>
      <c r="B50" t="str">
        <f t="shared" si="4"/>
        <v/>
      </c>
      <c r="C50" t="str">
        <f t="shared" si="5"/>
        <v/>
      </c>
      <c r="D50" t="str">
        <f t="shared" si="6"/>
        <v/>
      </c>
      <c r="E50" s="3" t="str">
        <f t="shared" si="7"/>
        <v/>
      </c>
    </row>
    <row r="51" spans="1:5">
      <c r="A51">
        <v>54</v>
      </c>
      <c r="B51" t="str">
        <f t="shared" si="4"/>
        <v/>
      </c>
      <c r="C51" t="str">
        <f t="shared" si="5"/>
        <v/>
      </c>
      <c r="D51" t="str">
        <f t="shared" si="6"/>
        <v/>
      </c>
      <c r="E51" s="3" t="str">
        <f t="shared" si="7"/>
        <v/>
      </c>
    </row>
    <row r="52" spans="1:5">
      <c r="A52">
        <v>55</v>
      </c>
      <c r="B52" t="str">
        <f t="shared" si="4"/>
        <v/>
      </c>
      <c r="C52" t="str">
        <f t="shared" si="5"/>
        <v/>
      </c>
      <c r="D52" t="str">
        <f t="shared" si="6"/>
        <v/>
      </c>
      <c r="E52" s="3" t="str">
        <f t="shared" si="7"/>
        <v/>
      </c>
    </row>
    <row r="53" spans="1:5">
      <c r="A53">
        <v>56</v>
      </c>
      <c r="B53" t="str">
        <f t="shared" si="4"/>
        <v/>
      </c>
      <c r="C53" t="str">
        <f t="shared" si="5"/>
        <v/>
      </c>
      <c r="D53" t="str">
        <f t="shared" si="6"/>
        <v/>
      </c>
      <c r="E53" s="3" t="str">
        <f t="shared" si="7"/>
        <v/>
      </c>
    </row>
    <row r="54" spans="1:5">
      <c r="A54">
        <v>57</v>
      </c>
      <c r="B54" t="str">
        <f t="shared" si="4"/>
        <v/>
      </c>
      <c r="C54" t="str">
        <f t="shared" si="5"/>
        <v/>
      </c>
      <c r="D54" t="str">
        <f t="shared" si="6"/>
        <v/>
      </c>
      <c r="E54" s="3" t="str">
        <f t="shared" si="7"/>
        <v/>
      </c>
    </row>
    <row r="55" spans="1:5">
      <c r="A55">
        <v>58</v>
      </c>
      <c r="B55" t="str">
        <f t="shared" si="4"/>
        <v/>
      </c>
      <c r="C55" t="str">
        <f t="shared" si="5"/>
        <v/>
      </c>
      <c r="D55" t="str">
        <f t="shared" si="6"/>
        <v/>
      </c>
      <c r="E55" s="3" t="str">
        <f t="shared" si="7"/>
        <v/>
      </c>
    </row>
    <row r="56" spans="1:5">
      <c r="A56">
        <v>59</v>
      </c>
      <c r="B56" t="str">
        <f t="shared" si="4"/>
        <v/>
      </c>
      <c r="C56" t="str">
        <f t="shared" si="5"/>
        <v/>
      </c>
      <c r="D56" t="str">
        <f t="shared" si="6"/>
        <v/>
      </c>
      <c r="E56" s="3" t="str">
        <f t="shared" si="7"/>
        <v/>
      </c>
    </row>
    <row r="57" spans="1:5">
      <c r="A57">
        <v>60</v>
      </c>
      <c r="B57" t="str">
        <f t="shared" si="4"/>
        <v/>
      </c>
      <c r="C57" t="str">
        <f t="shared" si="5"/>
        <v/>
      </c>
      <c r="D57" t="str">
        <f t="shared" si="6"/>
        <v/>
      </c>
      <c r="E57" s="3" t="str">
        <f t="shared" si="7"/>
        <v/>
      </c>
    </row>
    <row r="58" spans="1:5">
      <c r="A58">
        <v>61</v>
      </c>
      <c r="B58" t="str">
        <f t="shared" si="4"/>
        <v/>
      </c>
      <c r="C58" t="str">
        <f t="shared" si="5"/>
        <v/>
      </c>
      <c r="D58" t="str">
        <f t="shared" si="6"/>
        <v/>
      </c>
      <c r="E58" s="3" t="str">
        <f t="shared" si="7"/>
        <v/>
      </c>
    </row>
    <row r="59" spans="1:5">
      <c r="A59">
        <v>62</v>
      </c>
      <c r="B59" t="str">
        <f t="shared" si="4"/>
        <v/>
      </c>
      <c r="C59" t="str">
        <f t="shared" si="5"/>
        <v/>
      </c>
      <c r="D59" t="str">
        <f t="shared" si="6"/>
        <v/>
      </c>
      <c r="E59" s="3" t="str">
        <f t="shared" si="7"/>
        <v/>
      </c>
    </row>
    <row r="60" spans="1:5">
      <c r="A60">
        <v>63</v>
      </c>
      <c r="B60" t="str">
        <f t="shared" si="4"/>
        <v/>
      </c>
      <c r="C60" t="str">
        <f t="shared" si="5"/>
        <v/>
      </c>
      <c r="D60" t="str">
        <f t="shared" si="6"/>
        <v/>
      </c>
      <c r="E60" s="3" t="str">
        <f t="shared" si="7"/>
        <v/>
      </c>
    </row>
    <row r="61" spans="1:5">
      <c r="A61">
        <v>64</v>
      </c>
      <c r="B61" t="str">
        <f t="shared" si="4"/>
        <v/>
      </c>
      <c r="C61" t="str">
        <f t="shared" si="5"/>
        <v/>
      </c>
      <c r="D61" t="str">
        <f t="shared" si="6"/>
        <v/>
      </c>
      <c r="E61" s="3" t="str">
        <f t="shared" si="7"/>
        <v/>
      </c>
    </row>
    <row r="62" spans="1:5">
      <c r="A62">
        <v>65</v>
      </c>
      <c r="B62" t="str">
        <f t="shared" si="4"/>
        <v/>
      </c>
      <c r="C62" t="str">
        <f t="shared" si="5"/>
        <v/>
      </c>
      <c r="D62" t="str">
        <f t="shared" si="6"/>
        <v/>
      </c>
      <c r="E62" s="3" t="str">
        <f t="shared" si="7"/>
        <v/>
      </c>
    </row>
    <row r="63" spans="1:5">
      <c r="A63">
        <v>66</v>
      </c>
      <c r="B63" t="str">
        <f t="shared" si="4"/>
        <v/>
      </c>
      <c r="C63" t="str">
        <f t="shared" si="5"/>
        <v/>
      </c>
      <c r="D63" t="str">
        <f t="shared" si="6"/>
        <v/>
      </c>
      <c r="E63" s="3" t="str">
        <f t="shared" si="7"/>
        <v/>
      </c>
    </row>
    <row r="64" spans="1:5">
      <c r="A64">
        <v>67</v>
      </c>
      <c r="B64" t="str">
        <f t="shared" si="4"/>
        <v/>
      </c>
      <c r="C64" t="str">
        <f t="shared" si="5"/>
        <v/>
      </c>
      <c r="D64" t="str">
        <f t="shared" si="6"/>
        <v/>
      </c>
      <c r="E64" s="3" t="str">
        <f t="shared" si="7"/>
        <v/>
      </c>
    </row>
    <row r="65" spans="1:5">
      <c r="A65">
        <v>68</v>
      </c>
      <c r="B65" t="str">
        <f t="shared" si="4"/>
        <v/>
      </c>
      <c r="C65" t="str">
        <f t="shared" si="5"/>
        <v/>
      </c>
      <c r="D65" t="str">
        <f t="shared" si="6"/>
        <v/>
      </c>
      <c r="E65" s="3" t="str">
        <f t="shared" si="7"/>
        <v/>
      </c>
    </row>
    <row r="66" spans="1:5">
      <c r="A66">
        <v>69</v>
      </c>
      <c r="B66" t="str">
        <f t="shared" ref="B66:B97" si="8">IF(VLOOKUP(A70,ilmoittautuneet,2,0)="","",VLOOKUP(A70,ilmoittautuneet,2,0))</f>
        <v/>
      </c>
      <c r="C66" t="str">
        <f t="shared" ref="C66:C97" si="9">IF(VLOOKUP(A70,ilmoittautuneet,3,0)="","",VLOOKUP(A70,ilmoittautuneet,3,0))</f>
        <v/>
      </c>
      <c r="D66" t="str">
        <f t="shared" ref="D66:D97" si="10">IF(VLOOKUP(A66,ilmoittautuneet,4,0)="","",VLOOKUP(A66,ilmoittautuneet,4,0))</f>
        <v/>
      </c>
      <c r="E66" s="3" t="str">
        <f t="shared" ref="E66:E97" si="11">_xlfn.IFNA(VLOOKUP(A66,ajanottotaulukko,8,0),"")</f>
        <v/>
      </c>
    </row>
    <row r="67" spans="1:5">
      <c r="A67">
        <v>70</v>
      </c>
      <c r="B67" t="str">
        <f t="shared" si="8"/>
        <v/>
      </c>
      <c r="C67" t="str">
        <f t="shared" si="9"/>
        <v/>
      </c>
      <c r="D67" t="str">
        <f t="shared" si="10"/>
        <v/>
      </c>
      <c r="E67" s="3" t="str">
        <f t="shared" si="11"/>
        <v/>
      </c>
    </row>
    <row r="68" spans="1:5">
      <c r="A68">
        <v>71</v>
      </c>
      <c r="B68" t="str">
        <f t="shared" si="8"/>
        <v/>
      </c>
      <c r="C68" t="str">
        <f t="shared" si="9"/>
        <v/>
      </c>
      <c r="D68" t="str">
        <f t="shared" si="10"/>
        <v/>
      </c>
      <c r="E68" s="3" t="str">
        <f t="shared" si="11"/>
        <v/>
      </c>
    </row>
    <row r="69" spans="1:5">
      <c r="A69">
        <v>72</v>
      </c>
      <c r="B69" t="str">
        <f t="shared" si="8"/>
        <v/>
      </c>
      <c r="C69" t="str">
        <f t="shared" si="9"/>
        <v/>
      </c>
      <c r="D69" t="str">
        <f t="shared" si="10"/>
        <v/>
      </c>
      <c r="E69" s="3" t="str">
        <f t="shared" si="11"/>
        <v/>
      </c>
    </row>
    <row r="70" spans="1:5">
      <c r="A70">
        <v>73</v>
      </c>
      <c r="B70" t="str">
        <f t="shared" si="8"/>
        <v/>
      </c>
      <c r="C70" t="str">
        <f t="shared" si="9"/>
        <v/>
      </c>
      <c r="D70" t="str">
        <f t="shared" si="10"/>
        <v/>
      </c>
      <c r="E70" s="3" t="str">
        <f t="shared" si="11"/>
        <v/>
      </c>
    </row>
    <row r="71" spans="1:5">
      <c r="A71">
        <v>74</v>
      </c>
      <c r="B71" t="str">
        <f t="shared" si="8"/>
        <v/>
      </c>
      <c r="C71" t="str">
        <f t="shared" si="9"/>
        <v/>
      </c>
      <c r="D71" t="str">
        <f t="shared" si="10"/>
        <v/>
      </c>
      <c r="E71" s="3" t="str">
        <f t="shared" si="11"/>
        <v/>
      </c>
    </row>
    <row r="72" spans="1:5">
      <c r="A72">
        <v>75</v>
      </c>
      <c r="B72" t="str">
        <f t="shared" si="8"/>
        <v/>
      </c>
      <c r="C72" t="str">
        <f t="shared" si="9"/>
        <v/>
      </c>
      <c r="D72" t="str">
        <f t="shared" si="10"/>
        <v/>
      </c>
      <c r="E72" s="3" t="str">
        <f t="shared" si="11"/>
        <v/>
      </c>
    </row>
    <row r="73" spans="1:5">
      <c r="A73">
        <v>76</v>
      </c>
      <c r="B73" t="str">
        <f t="shared" si="8"/>
        <v/>
      </c>
      <c r="C73" t="str">
        <f t="shared" si="9"/>
        <v/>
      </c>
      <c r="D73" t="str">
        <f t="shared" si="10"/>
        <v/>
      </c>
      <c r="E73" s="3" t="str">
        <f t="shared" si="11"/>
        <v/>
      </c>
    </row>
    <row r="74" spans="1:5">
      <c r="A74">
        <v>77</v>
      </c>
      <c r="B74" t="str">
        <f t="shared" si="8"/>
        <v/>
      </c>
      <c r="C74" t="str">
        <f t="shared" si="9"/>
        <v/>
      </c>
      <c r="D74" t="str">
        <f t="shared" si="10"/>
        <v/>
      </c>
      <c r="E74" s="3" t="str">
        <f t="shared" si="11"/>
        <v/>
      </c>
    </row>
    <row r="75" spans="1:5">
      <c r="A75">
        <v>78</v>
      </c>
      <c r="B75" t="str">
        <f t="shared" si="8"/>
        <v/>
      </c>
      <c r="C75" t="str">
        <f t="shared" si="9"/>
        <v/>
      </c>
      <c r="D75" t="str">
        <f t="shared" si="10"/>
        <v/>
      </c>
      <c r="E75" s="3" t="str">
        <f t="shared" si="11"/>
        <v/>
      </c>
    </row>
    <row r="76" spans="1:5">
      <c r="A76">
        <v>79</v>
      </c>
      <c r="B76" t="str">
        <f t="shared" si="8"/>
        <v/>
      </c>
      <c r="C76" t="str">
        <f t="shared" si="9"/>
        <v/>
      </c>
      <c r="D76" t="str">
        <f t="shared" si="10"/>
        <v/>
      </c>
      <c r="E76" s="3" t="str">
        <f t="shared" si="11"/>
        <v/>
      </c>
    </row>
    <row r="77" spans="1:5">
      <c r="A77">
        <v>80</v>
      </c>
      <c r="B77" t="str">
        <f t="shared" si="8"/>
        <v/>
      </c>
      <c r="C77" t="str">
        <f t="shared" si="9"/>
        <v/>
      </c>
      <c r="D77" t="str">
        <f t="shared" si="10"/>
        <v/>
      </c>
      <c r="E77" s="3" t="str">
        <f t="shared" si="11"/>
        <v/>
      </c>
    </row>
    <row r="78" spans="1:5">
      <c r="A78">
        <v>81</v>
      </c>
      <c r="B78" t="str">
        <f t="shared" si="8"/>
        <v/>
      </c>
      <c r="C78" t="str">
        <f t="shared" si="9"/>
        <v/>
      </c>
      <c r="D78" t="str">
        <f t="shared" si="10"/>
        <v/>
      </c>
      <c r="E78" s="3" t="str">
        <f t="shared" si="11"/>
        <v/>
      </c>
    </row>
    <row r="79" spans="1:5">
      <c r="A79">
        <v>82</v>
      </c>
      <c r="B79" t="str">
        <f t="shared" si="8"/>
        <v/>
      </c>
      <c r="C79" t="str">
        <f t="shared" si="9"/>
        <v/>
      </c>
      <c r="D79" t="str">
        <f t="shared" si="10"/>
        <v/>
      </c>
      <c r="E79" s="3" t="str">
        <f t="shared" si="11"/>
        <v/>
      </c>
    </row>
    <row r="80" spans="1:5">
      <c r="A80">
        <v>83</v>
      </c>
      <c r="B80" t="str">
        <f t="shared" si="8"/>
        <v/>
      </c>
      <c r="C80" t="str">
        <f t="shared" si="9"/>
        <v/>
      </c>
      <c r="D80" t="str">
        <f t="shared" si="10"/>
        <v/>
      </c>
      <c r="E80" s="3" t="str">
        <f t="shared" si="11"/>
        <v/>
      </c>
    </row>
    <row r="81" spans="1:5">
      <c r="A81">
        <v>84</v>
      </c>
      <c r="B81" t="str">
        <f t="shared" si="8"/>
        <v/>
      </c>
      <c r="C81" t="str">
        <f t="shared" si="9"/>
        <v/>
      </c>
      <c r="D81" t="str">
        <f t="shared" si="10"/>
        <v/>
      </c>
      <c r="E81" s="3" t="str">
        <f t="shared" si="11"/>
        <v/>
      </c>
    </row>
    <row r="82" spans="1:5">
      <c r="A82">
        <v>85</v>
      </c>
      <c r="B82" t="str">
        <f t="shared" si="8"/>
        <v/>
      </c>
      <c r="C82" t="str">
        <f t="shared" si="9"/>
        <v/>
      </c>
      <c r="D82" t="str">
        <f t="shared" si="10"/>
        <v/>
      </c>
      <c r="E82" s="3" t="str">
        <f t="shared" si="11"/>
        <v/>
      </c>
    </row>
    <row r="83" spans="1:5">
      <c r="A83">
        <v>86</v>
      </c>
      <c r="B83" t="str">
        <f t="shared" si="8"/>
        <v/>
      </c>
      <c r="C83" t="str">
        <f t="shared" si="9"/>
        <v/>
      </c>
      <c r="D83" t="str">
        <f t="shared" si="10"/>
        <v/>
      </c>
      <c r="E83" s="3" t="str">
        <f t="shared" si="11"/>
        <v/>
      </c>
    </row>
    <row r="84" spans="1:5">
      <c r="A84">
        <v>87</v>
      </c>
      <c r="B84" t="str">
        <f t="shared" si="8"/>
        <v/>
      </c>
      <c r="C84" t="str">
        <f t="shared" si="9"/>
        <v/>
      </c>
      <c r="D84" t="str">
        <f t="shared" si="10"/>
        <v/>
      </c>
      <c r="E84" s="3" t="str">
        <f t="shared" si="11"/>
        <v/>
      </c>
    </row>
    <row r="85" spans="1:5">
      <c r="A85">
        <v>88</v>
      </c>
      <c r="B85" t="str">
        <f t="shared" si="8"/>
        <v/>
      </c>
      <c r="C85" t="str">
        <f t="shared" si="9"/>
        <v/>
      </c>
      <c r="D85" t="str">
        <f t="shared" si="10"/>
        <v/>
      </c>
      <c r="E85" s="3" t="str">
        <f t="shared" si="11"/>
        <v/>
      </c>
    </row>
    <row r="86" spans="1:5">
      <c r="A86">
        <v>89</v>
      </c>
      <c r="B86" t="str">
        <f t="shared" si="8"/>
        <v/>
      </c>
      <c r="C86" t="str">
        <f t="shared" si="9"/>
        <v/>
      </c>
      <c r="D86" t="str">
        <f t="shared" si="10"/>
        <v/>
      </c>
      <c r="E86" s="3" t="str">
        <f t="shared" si="11"/>
        <v/>
      </c>
    </row>
    <row r="87" spans="1:5">
      <c r="A87">
        <v>90</v>
      </c>
      <c r="B87" t="str">
        <f t="shared" si="8"/>
        <v/>
      </c>
      <c r="C87" t="str">
        <f t="shared" si="9"/>
        <v/>
      </c>
      <c r="D87" t="str">
        <f t="shared" si="10"/>
        <v/>
      </c>
      <c r="E87" s="3" t="str">
        <f t="shared" si="11"/>
        <v/>
      </c>
    </row>
    <row r="88" spans="1:5">
      <c r="A88">
        <v>91</v>
      </c>
      <c r="B88" t="str">
        <f t="shared" si="8"/>
        <v/>
      </c>
      <c r="C88" t="str">
        <f t="shared" si="9"/>
        <v/>
      </c>
      <c r="D88" t="str">
        <f t="shared" si="10"/>
        <v/>
      </c>
      <c r="E88" s="3" t="str">
        <f t="shared" si="11"/>
        <v/>
      </c>
    </row>
    <row r="89" spans="1:5">
      <c r="A89">
        <v>92</v>
      </c>
      <c r="B89" t="str">
        <f t="shared" si="8"/>
        <v/>
      </c>
      <c r="C89" t="str">
        <f t="shared" si="9"/>
        <v/>
      </c>
      <c r="D89" t="str">
        <f t="shared" si="10"/>
        <v/>
      </c>
      <c r="E89" s="3" t="str">
        <f t="shared" si="11"/>
        <v/>
      </c>
    </row>
    <row r="90" spans="1:5">
      <c r="A90">
        <v>93</v>
      </c>
      <c r="B90" t="str">
        <f t="shared" si="8"/>
        <v/>
      </c>
      <c r="C90" t="str">
        <f t="shared" si="9"/>
        <v/>
      </c>
      <c r="D90" t="str">
        <f t="shared" si="10"/>
        <v/>
      </c>
      <c r="E90" s="3" t="str">
        <f t="shared" si="11"/>
        <v/>
      </c>
    </row>
    <row r="91" spans="1:5">
      <c r="A91">
        <v>94</v>
      </c>
      <c r="B91" t="str">
        <f t="shared" si="8"/>
        <v/>
      </c>
      <c r="C91" t="str">
        <f t="shared" si="9"/>
        <v/>
      </c>
      <c r="D91" t="str">
        <f t="shared" si="10"/>
        <v/>
      </c>
      <c r="E91" s="3" t="str">
        <f t="shared" si="11"/>
        <v/>
      </c>
    </row>
    <row r="92" spans="1:5">
      <c r="A92">
        <v>95</v>
      </c>
      <c r="B92" t="str">
        <f t="shared" si="8"/>
        <v/>
      </c>
      <c r="C92" t="str">
        <f t="shared" si="9"/>
        <v/>
      </c>
      <c r="D92" t="str">
        <f t="shared" si="10"/>
        <v/>
      </c>
      <c r="E92" s="3" t="str">
        <f t="shared" si="11"/>
        <v/>
      </c>
    </row>
    <row r="93" spans="1:5">
      <c r="A93">
        <v>96</v>
      </c>
      <c r="B93" t="str">
        <f t="shared" si="8"/>
        <v/>
      </c>
      <c r="C93" t="str">
        <f t="shared" si="9"/>
        <v/>
      </c>
      <c r="D93" t="str">
        <f t="shared" si="10"/>
        <v/>
      </c>
      <c r="E93" s="3" t="str">
        <f t="shared" si="11"/>
        <v/>
      </c>
    </row>
    <row r="94" spans="1:5">
      <c r="A94">
        <v>97</v>
      </c>
      <c r="B94" t="str">
        <f t="shared" si="8"/>
        <v/>
      </c>
      <c r="C94" t="str">
        <f t="shared" si="9"/>
        <v/>
      </c>
      <c r="D94" t="str">
        <f t="shared" si="10"/>
        <v/>
      </c>
      <c r="E94" s="3" t="str">
        <f t="shared" si="11"/>
        <v/>
      </c>
    </row>
    <row r="95" spans="1:5">
      <c r="A95">
        <v>98</v>
      </c>
      <c r="B95" t="str">
        <f t="shared" si="8"/>
        <v/>
      </c>
      <c r="C95" t="str">
        <f t="shared" si="9"/>
        <v/>
      </c>
      <c r="D95" t="str">
        <f t="shared" si="10"/>
        <v/>
      </c>
      <c r="E95" s="3" t="str">
        <f t="shared" si="11"/>
        <v/>
      </c>
    </row>
    <row r="96" spans="1:5">
      <c r="A96">
        <v>99</v>
      </c>
      <c r="B96" t="str">
        <f t="shared" si="8"/>
        <v/>
      </c>
      <c r="C96" t="str">
        <f t="shared" si="9"/>
        <v/>
      </c>
      <c r="D96" t="str">
        <f t="shared" si="10"/>
        <v/>
      </c>
      <c r="E96" s="3" t="str">
        <f t="shared" si="11"/>
        <v/>
      </c>
    </row>
    <row r="97" spans="1:5">
      <c r="A97">
        <v>100</v>
      </c>
      <c r="B97" t="str">
        <f t="shared" si="8"/>
        <v/>
      </c>
      <c r="C97" t="str">
        <f t="shared" si="9"/>
        <v/>
      </c>
      <c r="D97" t="str">
        <f t="shared" si="10"/>
        <v/>
      </c>
      <c r="E97" s="3" t="str">
        <f t="shared" si="11"/>
        <v/>
      </c>
    </row>
    <row r="98" spans="1:5">
      <c r="A98">
        <v>101</v>
      </c>
      <c r="B98" t="str">
        <f t="shared" ref="B98:B129" si="12">IF(VLOOKUP(A102,ilmoittautuneet,2,0)="","",VLOOKUP(A102,ilmoittautuneet,2,0))</f>
        <v/>
      </c>
      <c r="C98" t="str">
        <f t="shared" ref="C98:C129" si="13">IF(VLOOKUP(A102,ilmoittautuneet,3,0)="","",VLOOKUP(A102,ilmoittautuneet,3,0))</f>
        <v/>
      </c>
      <c r="D98" t="str">
        <f t="shared" ref="D98:D129" si="14">IF(VLOOKUP(A98,ilmoittautuneet,4,0)="","",VLOOKUP(A98,ilmoittautuneet,4,0))</f>
        <v/>
      </c>
      <c r="E98" s="3" t="str">
        <f t="shared" ref="E98:E129" si="15">_xlfn.IFNA(VLOOKUP(A98,ajanottotaulukko,8,0),"")</f>
        <v/>
      </c>
    </row>
    <row r="99" spans="1:5">
      <c r="A99">
        <v>102</v>
      </c>
      <c r="B99" t="str">
        <f t="shared" si="12"/>
        <v/>
      </c>
      <c r="C99" t="str">
        <f t="shared" si="13"/>
        <v/>
      </c>
      <c r="D99" t="str">
        <f t="shared" si="14"/>
        <v/>
      </c>
      <c r="E99" s="3" t="str">
        <f t="shared" si="15"/>
        <v/>
      </c>
    </row>
    <row r="100" spans="1:5">
      <c r="A100">
        <v>103</v>
      </c>
      <c r="B100" t="str">
        <f t="shared" si="12"/>
        <v/>
      </c>
      <c r="C100" t="str">
        <f t="shared" si="13"/>
        <v/>
      </c>
      <c r="D100" t="str">
        <f t="shared" si="14"/>
        <v/>
      </c>
      <c r="E100" s="3" t="str">
        <f t="shared" si="15"/>
        <v/>
      </c>
    </row>
    <row r="101" spans="1:5">
      <c r="A101">
        <v>104</v>
      </c>
      <c r="B101" t="str">
        <f t="shared" si="12"/>
        <v/>
      </c>
      <c r="C101" t="str">
        <f t="shared" si="13"/>
        <v/>
      </c>
      <c r="D101" t="str">
        <f t="shared" si="14"/>
        <v/>
      </c>
      <c r="E101" s="3" t="str">
        <f t="shared" si="15"/>
        <v/>
      </c>
    </row>
    <row r="102" spans="1:5">
      <c r="A102">
        <v>105</v>
      </c>
      <c r="B102" t="str">
        <f t="shared" si="12"/>
        <v/>
      </c>
      <c r="C102" t="str">
        <f t="shared" si="13"/>
        <v/>
      </c>
      <c r="D102" t="str">
        <f t="shared" si="14"/>
        <v/>
      </c>
      <c r="E102" s="3" t="str">
        <f t="shared" si="15"/>
        <v/>
      </c>
    </row>
    <row r="103" spans="1:5">
      <c r="A103">
        <v>106</v>
      </c>
      <c r="B103" t="str">
        <f t="shared" si="12"/>
        <v/>
      </c>
      <c r="C103" t="str">
        <f t="shared" si="13"/>
        <v/>
      </c>
      <c r="D103" t="str">
        <f t="shared" si="14"/>
        <v/>
      </c>
      <c r="E103" s="3" t="str">
        <f t="shared" si="15"/>
        <v/>
      </c>
    </row>
    <row r="104" spans="1:5">
      <c r="A104">
        <v>107</v>
      </c>
      <c r="B104" t="str">
        <f t="shared" si="12"/>
        <v/>
      </c>
      <c r="C104" t="str">
        <f t="shared" si="13"/>
        <v/>
      </c>
      <c r="D104" t="str">
        <f t="shared" si="14"/>
        <v/>
      </c>
      <c r="E104" s="3" t="str">
        <f t="shared" si="15"/>
        <v/>
      </c>
    </row>
    <row r="105" spans="1:5">
      <c r="A105">
        <v>108</v>
      </c>
      <c r="B105" t="str">
        <f t="shared" si="12"/>
        <v/>
      </c>
      <c r="C105" t="str">
        <f t="shared" si="13"/>
        <v/>
      </c>
      <c r="D105" t="str">
        <f t="shared" si="14"/>
        <v/>
      </c>
      <c r="E105" s="3" t="str">
        <f t="shared" si="15"/>
        <v/>
      </c>
    </row>
    <row r="106" spans="1:5">
      <c r="A106">
        <v>109</v>
      </c>
      <c r="B106" t="str">
        <f t="shared" si="12"/>
        <v/>
      </c>
      <c r="C106" t="str">
        <f t="shared" si="13"/>
        <v/>
      </c>
      <c r="D106" t="str">
        <f t="shared" si="14"/>
        <v/>
      </c>
      <c r="E106" s="3" t="str">
        <f t="shared" si="15"/>
        <v/>
      </c>
    </row>
    <row r="107" spans="1:5">
      <c r="A107">
        <v>110</v>
      </c>
      <c r="B107" t="str">
        <f t="shared" si="12"/>
        <v/>
      </c>
      <c r="C107" t="str">
        <f t="shared" si="13"/>
        <v/>
      </c>
      <c r="D107" t="str">
        <f t="shared" si="14"/>
        <v/>
      </c>
      <c r="E107" s="3" t="str">
        <f t="shared" si="15"/>
        <v/>
      </c>
    </row>
    <row r="108" spans="1:5">
      <c r="A108">
        <v>111</v>
      </c>
      <c r="B108" t="str">
        <f t="shared" si="12"/>
        <v/>
      </c>
      <c r="C108" t="str">
        <f t="shared" si="13"/>
        <v/>
      </c>
      <c r="D108" t="str">
        <f t="shared" si="14"/>
        <v/>
      </c>
      <c r="E108" s="3" t="str">
        <f t="shared" si="15"/>
        <v/>
      </c>
    </row>
    <row r="109" spans="1:5">
      <c r="A109">
        <v>112</v>
      </c>
      <c r="B109" t="str">
        <f t="shared" si="12"/>
        <v/>
      </c>
      <c r="C109" t="str">
        <f t="shared" si="13"/>
        <v/>
      </c>
      <c r="D109" t="str">
        <f t="shared" si="14"/>
        <v/>
      </c>
      <c r="E109" s="3" t="str">
        <f t="shared" si="15"/>
        <v/>
      </c>
    </row>
    <row r="110" spans="1:5">
      <c r="A110">
        <v>113</v>
      </c>
      <c r="B110" t="str">
        <f t="shared" si="12"/>
        <v/>
      </c>
      <c r="C110" t="str">
        <f t="shared" si="13"/>
        <v/>
      </c>
      <c r="D110" t="str">
        <f t="shared" si="14"/>
        <v/>
      </c>
      <c r="E110" s="3" t="str">
        <f t="shared" si="15"/>
        <v/>
      </c>
    </row>
    <row r="111" spans="1:5">
      <c r="A111">
        <v>114</v>
      </c>
      <c r="B111" t="str">
        <f t="shared" si="12"/>
        <v/>
      </c>
      <c r="C111" t="str">
        <f t="shared" si="13"/>
        <v/>
      </c>
      <c r="D111" t="str">
        <f t="shared" si="14"/>
        <v/>
      </c>
      <c r="E111" s="3" t="str">
        <f t="shared" si="15"/>
        <v/>
      </c>
    </row>
    <row r="112" spans="1:5">
      <c r="A112">
        <v>115</v>
      </c>
      <c r="B112" t="str">
        <f t="shared" si="12"/>
        <v/>
      </c>
      <c r="C112" t="str">
        <f t="shared" si="13"/>
        <v/>
      </c>
      <c r="D112" t="str">
        <f t="shared" si="14"/>
        <v/>
      </c>
      <c r="E112" s="3" t="str">
        <f t="shared" si="15"/>
        <v/>
      </c>
    </row>
    <row r="113" spans="1:5">
      <c r="A113">
        <v>116</v>
      </c>
      <c r="B113" t="str">
        <f t="shared" si="12"/>
        <v/>
      </c>
      <c r="C113" t="str">
        <f t="shared" si="13"/>
        <v/>
      </c>
      <c r="D113" t="str">
        <f t="shared" si="14"/>
        <v/>
      </c>
      <c r="E113" s="3" t="str">
        <f t="shared" si="15"/>
        <v/>
      </c>
    </row>
    <row r="114" spans="1:5">
      <c r="A114">
        <v>117</v>
      </c>
      <c r="B114" t="str">
        <f t="shared" si="12"/>
        <v/>
      </c>
      <c r="C114" t="str">
        <f t="shared" si="13"/>
        <v/>
      </c>
      <c r="D114" t="str">
        <f t="shared" si="14"/>
        <v/>
      </c>
      <c r="E114" s="3" t="str">
        <f t="shared" si="15"/>
        <v/>
      </c>
    </row>
    <row r="115" spans="1:5">
      <c r="A115">
        <v>118</v>
      </c>
      <c r="B115" t="str">
        <f t="shared" si="12"/>
        <v/>
      </c>
      <c r="C115" t="str">
        <f t="shared" si="13"/>
        <v/>
      </c>
      <c r="D115" t="str">
        <f t="shared" si="14"/>
        <v/>
      </c>
      <c r="E115" s="3" t="str">
        <f t="shared" si="15"/>
        <v/>
      </c>
    </row>
    <row r="116" spans="1:5">
      <c r="A116">
        <v>119</v>
      </c>
      <c r="B116" t="str">
        <f t="shared" si="12"/>
        <v/>
      </c>
      <c r="C116" t="str">
        <f t="shared" si="13"/>
        <v/>
      </c>
      <c r="D116" t="str">
        <f t="shared" si="14"/>
        <v/>
      </c>
      <c r="E116" s="3" t="str">
        <f t="shared" si="15"/>
        <v/>
      </c>
    </row>
    <row r="117" spans="1:5">
      <c r="A117">
        <v>120</v>
      </c>
      <c r="B117" t="str">
        <f t="shared" si="12"/>
        <v/>
      </c>
      <c r="C117" t="str">
        <f t="shared" si="13"/>
        <v/>
      </c>
      <c r="D117" t="str">
        <f t="shared" si="14"/>
        <v/>
      </c>
      <c r="E117" s="3" t="str">
        <f t="shared" si="15"/>
        <v/>
      </c>
    </row>
    <row r="118" spans="1:5">
      <c r="A118">
        <v>121</v>
      </c>
      <c r="B118" t="str">
        <f t="shared" si="12"/>
        <v/>
      </c>
      <c r="C118" t="str">
        <f t="shared" si="13"/>
        <v/>
      </c>
      <c r="D118" t="str">
        <f t="shared" si="14"/>
        <v/>
      </c>
      <c r="E118" s="3" t="str">
        <f t="shared" si="15"/>
        <v/>
      </c>
    </row>
    <row r="119" spans="1:5">
      <c r="A119">
        <v>122</v>
      </c>
      <c r="B119" t="str">
        <f t="shared" si="12"/>
        <v/>
      </c>
      <c r="C119" t="str">
        <f t="shared" si="13"/>
        <v/>
      </c>
      <c r="D119" t="str">
        <f t="shared" si="14"/>
        <v/>
      </c>
      <c r="E119" s="3" t="str">
        <f t="shared" si="15"/>
        <v/>
      </c>
    </row>
    <row r="120" spans="1:5">
      <c r="A120">
        <v>123</v>
      </c>
      <c r="B120" t="str">
        <f t="shared" si="12"/>
        <v/>
      </c>
      <c r="C120" t="str">
        <f t="shared" si="13"/>
        <v/>
      </c>
      <c r="D120" t="str">
        <f t="shared" si="14"/>
        <v/>
      </c>
      <c r="E120" s="3" t="str">
        <f t="shared" si="15"/>
        <v/>
      </c>
    </row>
    <row r="121" spans="1:5">
      <c r="A121">
        <v>124</v>
      </c>
      <c r="B121" t="str">
        <f t="shared" si="12"/>
        <v/>
      </c>
      <c r="C121" t="str">
        <f t="shared" si="13"/>
        <v/>
      </c>
      <c r="D121" t="str">
        <f t="shared" si="14"/>
        <v/>
      </c>
      <c r="E121" s="3" t="str">
        <f t="shared" si="15"/>
        <v/>
      </c>
    </row>
    <row r="122" spans="1:5">
      <c r="A122">
        <v>125</v>
      </c>
      <c r="B122" t="str">
        <f t="shared" si="12"/>
        <v/>
      </c>
      <c r="C122" t="str">
        <f t="shared" si="13"/>
        <v/>
      </c>
      <c r="D122" t="str">
        <f t="shared" si="14"/>
        <v/>
      </c>
      <c r="E122" s="3" t="str">
        <f t="shared" si="15"/>
        <v/>
      </c>
    </row>
    <row r="123" spans="1:5">
      <c r="A123">
        <v>126</v>
      </c>
      <c r="B123" t="str">
        <f t="shared" si="12"/>
        <v/>
      </c>
      <c r="C123" t="str">
        <f t="shared" si="13"/>
        <v/>
      </c>
      <c r="D123" t="str">
        <f t="shared" si="14"/>
        <v/>
      </c>
      <c r="E123" s="3" t="str">
        <f t="shared" si="15"/>
        <v/>
      </c>
    </row>
    <row r="124" spans="1:5">
      <c r="A124">
        <v>127</v>
      </c>
      <c r="B124" t="str">
        <f t="shared" si="12"/>
        <v/>
      </c>
      <c r="C124" t="str">
        <f t="shared" si="13"/>
        <v/>
      </c>
      <c r="D124" t="str">
        <f t="shared" si="14"/>
        <v/>
      </c>
      <c r="E124" s="3" t="str">
        <f t="shared" si="15"/>
        <v/>
      </c>
    </row>
    <row r="125" spans="1:5">
      <c r="A125">
        <v>128</v>
      </c>
      <c r="B125" t="str">
        <f t="shared" si="12"/>
        <v/>
      </c>
      <c r="C125" t="str">
        <f t="shared" si="13"/>
        <v/>
      </c>
      <c r="D125" t="str">
        <f t="shared" si="14"/>
        <v/>
      </c>
      <c r="E125" s="3" t="str">
        <f t="shared" si="15"/>
        <v/>
      </c>
    </row>
    <row r="126" spans="1:5">
      <c r="A126">
        <v>129</v>
      </c>
      <c r="B126" t="str">
        <f t="shared" si="12"/>
        <v/>
      </c>
      <c r="C126" t="str">
        <f t="shared" si="13"/>
        <v/>
      </c>
      <c r="D126" t="str">
        <f t="shared" si="14"/>
        <v/>
      </c>
      <c r="E126" s="3" t="str">
        <f t="shared" si="15"/>
        <v/>
      </c>
    </row>
    <row r="127" spans="1:5">
      <c r="A127">
        <v>130</v>
      </c>
      <c r="B127" t="str">
        <f t="shared" si="12"/>
        <v/>
      </c>
      <c r="C127" t="str">
        <f t="shared" si="13"/>
        <v/>
      </c>
      <c r="D127" t="str">
        <f t="shared" si="14"/>
        <v/>
      </c>
      <c r="E127" s="3" t="str">
        <f t="shared" si="15"/>
        <v/>
      </c>
    </row>
    <row r="128" spans="1:5">
      <c r="A128">
        <v>131</v>
      </c>
      <c r="B128" t="str">
        <f t="shared" si="12"/>
        <v/>
      </c>
      <c r="C128" t="str">
        <f t="shared" si="13"/>
        <v/>
      </c>
      <c r="D128" t="str">
        <f t="shared" si="14"/>
        <v/>
      </c>
      <c r="E128" s="3" t="str">
        <f t="shared" si="15"/>
        <v/>
      </c>
    </row>
    <row r="129" spans="1:5">
      <c r="A129">
        <v>132</v>
      </c>
      <c r="B129" t="str">
        <f t="shared" si="12"/>
        <v/>
      </c>
      <c r="C129" t="str">
        <f t="shared" si="13"/>
        <v/>
      </c>
      <c r="D129" t="str">
        <f t="shared" si="14"/>
        <v/>
      </c>
      <c r="E129" s="3" t="str">
        <f t="shared" si="15"/>
        <v/>
      </c>
    </row>
    <row r="130" spans="1:5">
      <c r="A130">
        <v>133</v>
      </c>
      <c r="B130" t="str">
        <f t="shared" ref="B130:B161" si="16">IF(VLOOKUP(A134,ilmoittautuneet,2,0)="","",VLOOKUP(A134,ilmoittautuneet,2,0))</f>
        <v/>
      </c>
      <c r="C130" t="str">
        <f t="shared" ref="C130:C161" si="17">IF(VLOOKUP(A134,ilmoittautuneet,3,0)="","",VLOOKUP(A134,ilmoittautuneet,3,0))</f>
        <v/>
      </c>
      <c r="D130" t="str">
        <f t="shared" ref="D130:D161" si="18">IF(VLOOKUP(A130,ilmoittautuneet,4,0)="","",VLOOKUP(A130,ilmoittautuneet,4,0))</f>
        <v/>
      </c>
      <c r="E130" s="3" t="str">
        <f t="shared" ref="E130:E161" si="19">_xlfn.IFNA(VLOOKUP(A130,ajanottotaulukko,8,0),"")</f>
        <v/>
      </c>
    </row>
    <row r="131" spans="1:5">
      <c r="A131">
        <v>134</v>
      </c>
      <c r="B131" t="str">
        <f t="shared" si="16"/>
        <v/>
      </c>
      <c r="C131" t="str">
        <f t="shared" si="17"/>
        <v/>
      </c>
      <c r="D131" t="str">
        <f t="shared" si="18"/>
        <v/>
      </c>
      <c r="E131" s="3" t="str">
        <f t="shared" si="19"/>
        <v/>
      </c>
    </row>
    <row r="132" spans="1:5">
      <c r="A132">
        <v>135</v>
      </c>
      <c r="B132" t="str">
        <f t="shared" si="16"/>
        <v/>
      </c>
      <c r="C132" t="str">
        <f t="shared" si="17"/>
        <v/>
      </c>
      <c r="D132" t="str">
        <f t="shared" si="18"/>
        <v/>
      </c>
      <c r="E132" s="3" t="str">
        <f t="shared" si="19"/>
        <v/>
      </c>
    </row>
    <row r="133" spans="1:5">
      <c r="A133">
        <v>136</v>
      </c>
      <c r="B133" t="str">
        <f t="shared" si="16"/>
        <v/>
      </c>
      <c r="C133" t="str">
        <f t="shared" si="17"/>
        <v/>
      </c>
      <c r="D133" t="str">
        <f t="shared" si="18"/>
        <v/>
      </c>
      <c r="E133" s="3" t="str">
        <f t="shared" si="19"/>
        <v/>
      </c>
    </row>
    <row r="134" spans="1:5">
      <c r="A134">
        <v>137</v>
      </c>
      <c r="B134" t="str">
        <f t="shared" si="16"/>
        <v/>
      </c>
      <c r="C134" t="str">
        <f t="shared" si="17"/>
        <v/>
      </c>
      <c r="D134" t="str">
        <f t="shared" si="18"/>
        <v/>
      </c>
      <c r="E134" s="3" t="str">
        <f t="shared" si="19"/>
        <v/>
      </c>
    </row>
    <row r="135" spans="1:5">
      <c r="A135">
        <v>138</v>
      </c>
      <c r="B135" t="str">
        <f t="shared" si="16"/>
        <v/>
      </c>
      <c r="C135" t="str">
        <f t="shared" si="17"/>
        <v/>
      </c>
      <c r="D135" t="str">
        <f t="shared" si="18"/>
        <v/>
      </c>
      <c r="E135" s="3" t="str">
        <f t="shared" si="19"/>
        <v/>
      </c>
    </row>
    <row r="136" spans="1:5">
      <c r="A136">
        <v>139</v>
      </c>
      <c r="B136" t="str">
        <f t="shared" si="16"/>
        <v/>
      </c>
      <c r="C136" t="str">
        <f t="shared" si="17"/>
        <v/>
      </c>
      <c r="D136" t="str">
        <f t="shared" si="18"/>
        <v/>
      </c>
      <c r="E136" s="3" t="str">
        <f t="shared" si="19"/>
        <v/>
      </c>
    </row>
    <row r="137" spans="1:5">
      <c r="A137">
        <v>140</v>
      </c>
      <c r="B137" t="str">
        <f t="shared" si="16"/>
        <v/>
      </c>
      <c r="C137" t="str">
        <f t="shared" si="17"/>
        <v/>
      </c>
      <c r="D137" t="str">
        <f t="shared" si="18"/>
        <v/>
      </c>
      <c r="E137" s="3" t="str">
        <f t="shared" si="19"/>
        <v/>
      </c>
    </row>
    <row r="138" spans="1:5">
      <c r="A138">
        <v>141</v>
      </c>
      <c r="B138" t="str">
        <f t="shared" si="16"/>
        <v/>
      </c>
      <c r="C138" t="str">
        <f t="shared" si="17"/>
        <v/>
      </c>
      <c r="D138" t="str">
        <f t="shared" si="18"/>
        <v/>
      </c>
      <c r="E138" s="3" t="str">
        <f t="shared" si="19"/>
        <v/>
      </c>
    </row>
    <row r="139" spans="1:5">
      <c r="A139">
        <v>142</v>
      </c>
      <c r="B139" t="str">
        <f t="shared" si="16"/>
        <v/>
      </c>
      <c r="C139" t="str">
        <f t="shared" si="17"/>
        <v/>
      </c>
      <c r="D139" t="str">
        <f t="shared" si="18"/>
        <v/>
      </c>
      <c r="E139" s="3" t="str">
        <f t="shared" si="19"/>
        <v/>
      </c>
    </row>
    <row r="140" spans="1:5">
      <c r="A140">
        <v>143</v>
      </c>
      <c r="B140" t="str">
        <f t="shared" si="16"/>
        <v/>
      </c>
      <c r="C140" t="str">
        <f t="shared" si="17"/>
        <v/>
      </c>
      <c r="D140" t="str">
        <f t="shared" si="18"/>
        <v/>
      </c>
      <c r="E140" s="3" t="str">
        <f t="shared" si="19"/>
        <v/>
      </c>
    </row>
    <row r="141" spans="1:5">
      <c r="A141">
        <v>144</v>
      </c>
      <c r="B141" t="str">
        <f t="shared" si="16"/>
        <v/>
      </c>
      <c r="C141" t="str">
        <f t="shared" si="17"/>
        <v/>
      </c>
      <c r="D141" t="str">
        <f t="shared" si="18"/>
        <v/>
      </c>
      <c r="E141" s="3" t="str">
        <f t="shared" si="19"/>
        <v/>
      </c>
    </row>
    <row r="142" spans="1:5">
      <c r="A142">
        <v>145</v>
      </c>
      <c r="B142" t="str">
        <f t="shared" si="16"/>
        <v/>
      </c>
      <c r="C142" t="str">
        <f t="shared" si="17"/>
        <v/>
      </c>
      <c r="D142" t="str">
        <f t="shared" si="18"/>
        <v/>
      </c>
      <c r="E142" s="3" t="str">
        <f t="shared" si="19"/>
        <v/>
      </c>
    </row>
    <row r="143" spans="1:5">
      <c r="A143">
        <v>146</v>
      </c>
      <c r="B143" t="str">
        <f t="shared" si="16"/>
        <v/>
      </c>
      <c r="C143" t="str">
        <f t="shared" si="17"/>
        <v/>
      </c>
      <c r="D143" t="str">
        <f t="shared" si="18"/>
        <v/>
      </c>
      <c r="E143" s="3" t="str">
        <f t="shared" si="19"/>
        <v/>
      </c>
    </row>
    <row r="144" spans="1:5">
      <c r="A144">
        <v>147</v>
      </c>
      <c r="B144" t="str">
        <f t="shared" si="16"/>
        <v/>
      </c>
      <c r="C144" t="str">
        <f t="shared" si="17"/>
        <v/>
      </c>
      <c r="D144" t="str">
        <f t="shared" si="18"/>
        <v/>
      </c>
      <c r="E144" s="3" t="str">
        <f t="shared" si="19"/>
        <v/>
      </c>
    </row>
    <row r="145" spans="1:5">
      <c r="A145">
        <v>148</v>
      </c>
      <c r="B145" t="str">
        <f t="shared" si="16"/>
        <v/>
      </c>
      <c r="C145" t="str">
        <f t="shared" si="17"/>
        <v/>
      </c>
      <c r="D145" t="str">
        <f t="shared" si="18"/>
        <v/>
      </c>
      <c r="E145" s="3" t="str">
        <f t="shared" si="19"/>
        <v/>
      </c>
    </row>
    <row r="146" spans="1:5">
      <c r="A146">
        <v>149</v>
      </c>
      <c r="B146" t="str">
        <f t="shared" si="16"/>
        <v/>
      </c>
      <c r="C146" t="str">
        <f t="shared" si="17"/>
        <v/>
      </c>
      <c r="D146" t="str">
        <f t="shared" si="18"/>
        <v/>
      </c>
      <c r="E146" s="3" t="str">
        <f t="shared" si="19"/>
        <v/>
      </c>
    </row>
    <row r="147" spans="1:5">
      <c r="A147">
        <v>150</v>
      </c>
      <c r="B147" t="str">
        <f t="shared" si="16"/>
        <v/>
      </c>
      <c r="C147" t="str">
        <f t="shared" si="17"/>
        <v/>
      </c>
      <c r="D147" t="str">
        <f t="shared" si="18"/>
        <v/>
      </c>
      <c r="E147" s="3" t="str">
        <f t="shared" si="19"/>
        <v/>
      </c>
    </row>
    <row r="148" spans="1:5">
      <c r="A148">
        <v>151</v>
      </c>
      <c r="B148" t="str">
        <f t="shared" si="16"/>
        <v/>
      </c>
      <c r="C148" t="str">
        <f t="shared" si="17"/>
        <v/>
      </c>
      <c r="D148" t="str">
        <f t="shared" si="18"/>
        <v/>
      </c>
      <c r="E148" s="3" t="str">
        <f t="shared" si="19"/>
        <v/>
      </c>
    </row>
    <row r="149" spans="1:5">
      <c r="A149">
        <v>152</v>
      </c>
      <c r="B149" t="str">
        <f t="shared" si="16"/>
        <v/>
      </c>
      <c r="C149" t="str">
        <f t="shared" si="17"/>
        <v/>
      </c>
      <c r="D149" t="str">
        <f t="shared" si="18"/>
        <v/>
      </c>
      <c r="E149" s="3" t="str">
        <f t="shared" si="19"/>
        <v/>
      </c>
    </row>
    <row r="150" spans="1:5">
      <c r="A150">
        <v>153</v>
      </c>
      <c r="B150" t="str">
        <f t="shared" si="16"/>
        <v/>
      </c>
      <c r="C150" t="str">
        <f t="shared" si="17"/>
        <v/>
      </c>
      <c r="D150" t="str">
        <f t="shared" si="18"/>
        <v/>
      </c>
      <c r="E150" s="3" t="str">
        <f t="shared" si="19"/>
        <v/>
      </c>
    </row>
    <row r="151" spans="1:5">
      <c r="A151">
        <v>154</v>
      </c>
      <c r="B151" t="str">
        <f t="shared" si="16"/>
        <v/>
      </c>
      <c r="C151" t="str">
        <f t="shared" si="17"/>
        <v/>
      </c>
      <c r="D151" t="str">
        <f t="shared" si="18"/>
        <v/>
      </c>
      <c r="E151" s="3" t="str">
        <f t="shared" si="19"/>
        <v/>
      </c>
    </row>
    <row r="152" spans="1:5">
      <c r="A152">
        <v>151</v>
      </c>
      <c r="B152" t="e">
        <f t="shared" si="16"/>
        <v>#N/A</v>
      </c>
      <c r="C152" t="e">
        <f t="shared" si="17"/>
        <v>#N/A</v>
      </c>
      <c r="D152" t="str">
        <f t="shared" si="18"/>
        <v/>
      </c>
      <c r="E152" s="3" t="str">
        <f t="shared" si="19"/>
        <v/>
      </c>
    </row>
    <row r="153" spans="1:5">
      <c r="A153">
        <v>152</v>
      </c>
      <c r="B153" t="e">
        <f t="shared" si="16"/>
        <v>#N/A</v>
      </c>
      <c r="C153" t="e">
        <f t="shared" si="17"/>
        <v>#N/A</v>
      </c>
      <c r="D153" t="str">
        <f t="shared" si="18"/>
        <v/>
      </c>
      <c r="E153" s="3" t="str">
        <f t="shared" si="19"/>
        <v/>
      </c>
    </row>
    <row r="154" spans="1:5">
      <c r="A154">
        <v>153</v>
      </c>
      <c r="B154" t="e">
        <f t="shared" si="16"/>
        <v>#N/A</v>
      </c>
      <c r="C154" t="e">
        <f t="shared" si="17"/>
        <v>#N/A</v>
      </c>
      <c r="D154" t="str">
        <f t="shared" si="18"/>
        <v/>
      </c>
      <c r="E154" s="3" t="str">
        <f t="shared" si="19"/>
        <v/>
      </c>
    </row>
    <row r="155" spans="1:5">
      <c r="A155">
        <v>154</v>
      </c>
      <c r="B155" t="e">
        <f t="shared" si="16"/>
        <v>#N/A</v>
      </c>
      <c r="C155" t="e">
        <f t="shared" si="17"/>
        <v>#N/A</v>
      </c>
      <c r="D155" t="str">
        <f t="shared" si="18"/>
        <v/>
      </c>
      <c r="E155" s="3" t="str">
        <f t="shared" si="19"/>
        <v/>
      </c>
    </row>
    <row r="156" spans="1:5">
      <c r="A156">
        <v>155</v>
      </c>
      <c r="B156" t="e">
        <f t="shared" si="16"/>
        <v>#N/A</v>
      </c>
      <c r="C156" t="e">
        <f t="shared" si="17"/>
        <v>#N/A</v>
      </c>
      <c r="D156" t="e">
        <f t="shared" si="18"/>
        <v>#N/A</v>
      </c>
      <c r="E156" s="3" t="str">
        <f t="shared" si="19"/>
        <v/>
      </c>
    </row>
    <row r="157" spans="1:5">
      <c r="A157">
        <v>156</v>
      </c>
      <c r="B157" t="e">
        <f t="shared" si="16"/>
        <v>#N/A</v>
      </c>
      <c r="C157" t="e">
        <f t="shared" si="17"/>
        <v>#N/A</v>
      </c>
      <c r="D157" t="e">
        <f t="shared" si="18"/>
        <v>#N/A</v>
      </c>
      <c r="E157" s="3" t="str">
        <f t="shared" si="19"/>
        <v/>
      </c>
    </row>
    <row r="158" spans="1:5">
      <c r="A158">
        <v>157</v>
      </c>
      <c r="B158" t="e">
        <f t="shared" si="16"/>
        <v>#N/A</v>
      </c>
      <c r="C158" t="e">
        <f t="shared" si="17"/>
        <v>#N/A</v>
      </c>
      <c r="D158" t="e">
        <f t="shared" si="18"/>
        <v>#N/A</v>
      </c>
      <c r="E158" s="3" t="str">
        <f t="shared" si="19"/>
        <v/>
      </c>
    </row>
    <row r="159" spans="1:5">
      <c r="A159">
        <v>158</v>
      </c>
      <c r="B159" t="e">
        <f t="shared" si="16"/>
        <v>#N/A</v>
      </c>
      <c r="C159" t="e">
        <f t="shared" si="17"/>
        <v>#N/A</v>
      </c>
      <c r="D159" t="e">
        <f t="shared" si="18"/>
        <v>#N/A</v>
      </c>
      <c r="E159" s="3" t="str">
        <f t="shared" si="19"/>
        <v/>
      </c>
    </row>
    <row r="160" spans="1:5">
      <c r="A160">
        <v>159</v>
      </c>
      <c r="B160" t="e">
        <f t="shared" si="16"/>
        <v>#N/A</v>
      </c>
      <c r="C160" t="e">
        <f t="shared" si="17"/>
        <v>#N/A</v>
      </c>
      <c r="D160" t="e">
        <f t="shared" si="18"/>
        <v>#N/A</v>
      </c>
      <c r="E160" s="3" t="str">
        <f t="shared" si="19"/>
        <v/>
      </c>
    </row>
    <row r="161" spans="1:5">
      <c r="A161">
        <v>160</v>
      </c>
      <c r="B161" t="e">
        <f t="shared" si="16"/>
        <v>#N/A</v>
      </c>
      <c r="C161" t="e">
        <f t="shared" si="17"/>
        <v>#N/A</v>
      </c>
      <c r="D161" t="e">
        <f t="shared" si="18"/>
        <v>#N/A</v>
      </c>
      <c r="E161" s="3" t="str">
        <f t="shared" si="19"/>
        <v/>
      </c>
    </row>
    <row r="162" spans="1:5">
      <c r="A162">
        <v>161</v>
      </c>
      <c r="B162" t="e">
        <f t="shared" ref="B162:B193" si="20">IF(VLOOKUP(A166,ilmoittautuneet,2,0)="","",VLOOKUP(A166,ilmoittautuneet,2,0))</f>
        <v>#N/A</v>
      </c>
      <c r="C162" t="e">
        <f t="shared" ref="C162:C193" si="21">IF(VLOOKUP(A166,ilmoittautuneet,3,0)="","",VLOOKUP(A166,ilmoittautuneet,3,0))</f>
        <v>#N/A</v>
      </c>
      <c r="D162" t="e">
        <f t="shared" ref="D162:D193" si="22">IF(VLOOKUP(A162,ilmoittautuneet,4,0)="","",VLOOKUP(A162,ilmoittautuneet,4,0))</f>
        <v>#N/A</v>
      </c>
      <c r="E162" s="3" t="str">
        <f t="shared" ref="E162:E193" si="23">_xlfn.IFNA(VLOOKUP(A162,ajanottotaulukko,8,0),"")</f>
        <v/>
      </c>
    </row>
    <row r="163" spans="1:5">
      <c r="A163">
        <v>162</v>
      </c>
      <c r="B163" t="e">
        <f t="shared" si="20"/>
        <v>#N/A</v>
      </c>
      <c r="C163" t="e">
        <f t="shared" si="21"/>
        <v>#N/A</v>
      </c>
      <c r="D163" t="e">
        <f t="shared" si="22"/>
        <v>#N/A</v>
      </c>
      <c r="E163" s="3" t="str">
        <f t="shared" si="23"/>
        <v/>
      </c>
    </row>
    <row r="164" spans="1:5">
      <c r="A164">
        <v>163</v>
      </c>
      <c r="B164" t="e">
        <f t="shared" si="20"/>
        <v>#N/A</v>
      </c>
      <c r="C164" t="e">
        <f t="shared" si="21"/>
        <v>#N/A</v>
      </c>
      <c r="D164" t="e">
        <f t="shared" si="22"/>
        <v>#N/A</v>
      </c>
      <c r="E164" s="3" t="str">
        <f t="shared" si="23"/>
        <v/>
      </c>
    </row>
    <row r="165" spans="1:5">
      <c r="A165">
        <v>164</v>
      </c>
      <c r="B165" t="e">
        <f t="shared" si="20"/>
        <v>#N/A</v>
      </c>
      <c r="C165" t="e">
        <f t="shared" si="21"/>
        <v>#N/A</v>
      </c>
      <c r="D165" t="e">
        <f t="shared" si="22"/>
        <v>#N/A</v>
      </c>
      <c r="E165" s="3" t="str">
        <f t="shared" si="23"/>
        <v/>
      </c>
    </row>
    <row r="166" spans="1:5">
      <c r="A166">
        <v>165</v>
      </c>
      <c r="B166" t="e">
        <f t="shared" si="20"/>
        <v>#N/A</v>
      </c>
      <c r="C166" t="e">
        <f t="shared" si="21"/>
        <v>#N/A</v>
      </c>
      <c r="D166" t="e">
        <f t="shared" si="22"/>
        <v>#N/A</v>
      </c>
      <c r="E166" s="3" t="str">
        <f t="shared" si="23"/>
        <v/>
      </c>
    </row>
    <row r="167" spans="1:5">
      <c r="A167">
        <v>166</v>
      </c>
      <c r="B167" t="e">
        <f t="shared" si="20"/>
        <v>#N/A</v>
      </c>
      <c r="C167" t="e">
        <f t="shared" si="21"/>
        <v>#N/A</v>
      </c>
      <c r="D167" t="e">
        <f t="shared" si="22"/>
        <v>#N/A</v>
      </c>
      <c r="E167" s="3" t="str">
        <f t="shared" si="23"/>
        <v/>
      </c>
    </row>
    <row r="168" spans="1:5">
      <c r="A168">
        <v>167</v>
      </c>
      <c r="B168" t="e">
        <f t="shared" si="20"/>
        <v>#N/A</v>
      </c>
      <c r="C168" t="e">
        <f t="shared" si="21"/>
        <v>#N/A</v>
      </c>
      <c r="D168" t="e">
        <f t="shared" si="22"/>
        <v>#N/A</v>
      </c>
      <c r="E168" s="3" t="str">
        <f t="shared" si="23"/>
        <v/>
      </c>
    </row>
    <row r="169" spans="1:5">
      <c r="A169">
        <v>168</v>
      </c>
      <c r="B169" t="e">
        <f t="shared" si="20"/>
        <v>#N/A</v>
      </c>
      <c r="C169" t="e">
        <f t="shared" si="21"/>
        <v>#N/A</v>
      </c>
      <c r="D169" t="e">
        <f t="shared" si="22"/>
        <v>#N/A</v>
      </c>
      <c r="E169" s="3" t="str">
        <f t="shared" si="23"/>
        <v/>
      </c>
    </row>
    <row r="170" spans="1:5">
      <c r="A170">
        <v>169</v>
      </c>
      <c r="B170" t="e">
        <f t="shared" si="20"/>
        <v>#N/A</v>
      </c>
      <c r="C170" t="e">
        <f t="shared" si="21"/>
        <v>#N/A</v>
      </c>
      <c r="D170" t="e">
        <f t="shared" si="22"/>
        <v>#N/A</v>
      </c>
      <c r="E170" s="3" t="str">
        <f t="shared" si="23"/>
        <v/>
      </c>
    </row>
    <row r="171" spans="1:5">
      <c r="A171">
        <v>170</v>
      </c>
      <c r="B171" t="e">
        <f t="shared" si="20"/>
        <v>#N/A</v>
      </c>
      <c r="C171" t="e">
        <f t="shared" si="21"/>
        <v>#N/A</v>
      </c>
      <c r="D171" t="e">
        <f t="shared" si="22"/>
        <v>#N/A</v>
      </c>
      <c r="E171" s="3" t="str">
        <f t="shared" si="23"/>
        <v/>
      </c>
    </row>
    <row r="172" spans="1:5">
      <c r="A172">
        <v>171</v>
      </c>
      <c r="B172" t="e">
        <f t="shared" si="20"/>
        <v>#N/A</v>
      </c>
      <c r="C172" t="e">
        <f t="shared" si="21"/>
        <v>#N/A</v>
      </c>
      <c r="D172" t="e">
        <f t="shared" si="22"/>
        <v>#N/A</v>
      </c>
      <c r="E172" s="3" t="str">
        <f t="shared" si="23"/>
        <v/>
      </c>
    </row>
    <row r="173" spans="1:5">
      <c r="A173">
        <v>172</v>
      </c>
      <c r="B173" t="e">
        <f t="shared" si="20"/>
        <v>#N/A</v>
      </c>
      <c r="C173" t="e">
        <f t="shared" si="21"/>
        <v>#N/A</v>
      </c>
      <c r="D173" t="e">
        <f t="shared" si="22"/>
        <v>#N/A</v>
      </c>
      <c r="E173" s="3" t="str">
        <f t="shared" si="23"/>
        <v/>
      </c>
    </row>
    <row r="174" spans="1:5">
      <c r="A174">
        <v>173</v>
      </c>
      <c r="B174" t="e">
        <f t="shared" si="20"/>
        <v>#N/A</v>
      </c>
      <c r="C174" t="e">
        <f t="shared" si="21"/>
        <v>#N/A</v>
      </c>
      <c r="D174" t="e">
        <f t="shared" si="22"/>
        <v>#N/A</v>
      </c>
      <c r="E174" s="3" t="str">
        <f t="shared" si="23"/>
        <v/>
      </c>
    </row>
    <row r="175" spans="1:5">
      <c r="A175">
        <v>174</v>
      </c>
      <c r="B175" t="e">
        <f t="shared" si="20"/>
        <v>#N/A</v>
      </c>
      <c r="C175" t="e">
        <f t="shared" si="21"/>
        <v>#N/A</v>
      </c>
      <c r="D175" t="e">
        <f t="shared" si="22"/>
        <v>#N/A</v>
      </c>
      <c r="E175" s="3" t="str">
        <f t="shared" si="23"/>
        <v/>
      </c>
    </row>
    <row r="176" spans="1:5">
      <c r="A176">
        <v>175</v>
      </c>
      <c r="B176" t="e">
        <f t="shared" si="20"/>
        <v>#N/A</v>
      </c>
      <c r="C176" t="e">
        <f t="shared" si="21"/>
        <v>#N/A</v>
      </c>
      <c r="D176" t="e">
        <f t="shared" si="22"/>
        <v>#N/A</v>
      </c>
      <c r="E176" s="3" t="str">
        <f t="shared" si="23"/>
        <v/>
      </c>
    </row>
    <row r="177" spans="1:5">
      <c r="A177">
        <v>176</v>
      </c>
      <c r="B177" t="e">
        <f t="shared" si="20"/>
        <v>#N/A</v>
      </c>
      <c r="C177" t="e">
        <f t="shared" si="21"/>
        <v>#N/A</v>
      </c>
      <c r="D177" t="e">
        <f t="shared" si="22"/>
        <v>#N/A</v>
      </c>
      <c r="E177" s="3" t="str">
        <f t="shared" si="23"/>
        <v/>
      </c>
    </row>
    <row r="178" spans="1:5">
      <c r="A178">
        <v>177</v>
      </c>
      <c r="B178" t="e">
        <f t="shared" si="20"/>
        <v>#N/A</v>
      </c>
      <c r="C178" t="e">
        <f t="shared" si="21"/>
        <v>#N/A</v>
      </c>
      <c r="D178" t="e">
        <f t="shared" si="22"/>
        <v>#N/A</v>
      </c>
      <c r="E178" s="3" t="str">
        <f t="shared" si="23"/>
        <v/>
      </c>
    </row>
    <row r="179" spans="1:5">
      <c r="A179">
        <v>178</v>
      </c>
      <c r="B179" t="e">
        <f t="shared" si="20"/>
        <v>#N/A</v>
      </c>
      <c r="C179" t="e">
        <f t="shared" si="21"/>
        <v>#N/A</v>
      </c>
      <c r="D179" t="e">
        <f t="shared" si="22"/>
        <v>#N/A</v>
      </c>
      <c r="E179" s="3" t="str">
        <f t="shared" si="23"/>
        <v/>
      </c>
    </row>
    <row r="180" spans="1:5">
      <c r="A180">
        <v>179</v>
      </c>
      <c r="B180" t="e">
        <f t="shared" si="20"/>
        <v>#N/A</v>
      </c>
      <c r="C180" t="e">
        <f t="shared" si="21"/>
        <v>#N/A</v>
      </c>
      <c r="D180" t="e">
        <f t="shared" si="22"/>
        <v>#N/A</v>
      </c>
      <c r="E180" s="3" t="str">
        <f t="shared" si="23"/>
        <v/>
      </c>
    </row>
    <row r="181" spans="1:5">
      <c r="A181">
        <v>180</v>
      </c>
      <c r="B181" t="e">
        <f t="shared" si="20"/>
        <v>#N/A</v>
      </c>
      <c r="C181" t="e">
        <f t="shared" si="21"/>
        <v>#N/A</v>
      </c>
      <c r="D181" t="e">
        <f t="shared" si="22"/>
        <v>#N/A</v>
      </c>
      <c r="E181" s="3" t="str">
        <f t="shared" si="23"/>
        <v/>
      </c>
    </row>
    <row r="182" spans="1:5">
      <c r="A182">
        <v>181</v>
      </c>
      <c r="B182" t="e">
        <f t="shared" si="20"/>
        <v>#N/A</v>
      </c>
      <c r="C182" t="e">
        <f t="shared" si="21"/>
        <v>#N/A</v>
      </c>
      <c r="D182" t="e">
        <f t="shared" si="22"/>
        <v>#N/A</v>
      </c>
      <c r="E182" s="3" t="str">
        <f t="shared" si="23"/>
        <v/>
      </c>
    </row>
    <row r="183" spans="1:5">
      <c r="A183">
        <v>182</v>
      </c>
      <c r="B183" t="e">
        <f t="shared" si="20"/>
        <v>#N/A</v>
      </c>
      <c r="C183" t="e">
        <f t="shared" si="21"/>
        <v>#N/A</v>
      </c>
      <c r="D183" t="e">
        <f t="shared" si="22"/>
        <v>#N/A</v>
      </c>
      <c r="E183" s="3" t="str">
        <f t="shared" si="23"/>
        <v/>
      </c>
    </row>
    <row r="184" spans="1:5">
      <c r="A184">
        <v>183</v>
      </c>
      <c r="B184" t="e">
        <f t="shared" si="20"/>
        <v>#N/A</v>
      </c>
      <c r="C184" t="e">
        <f t="shared" si="21"/>
        <v>#N/A</v>
      </c>
      <c r="D184" t="e">
        <f t="shared" si="22"/>
        <v>#N/A</v>
      </c>
      <c r="E184" s="3" t="str">
        <f t="shared" si="23"/>
        <v/>
      </c>
    </row>
    <row r="185" spans="1:5">
      <c r="A185">
        <v>184</v>
      </c>
      <c r="B185" t="e">
        <f t="shared" si="20"/>
        <v>#N/A</v>
      </c>
      <c r="C185" t="e">
        <f t="shared" si="21"/>
        <v>#N/A</v>
      </c>
      <c r="D185" t="e">
        <f t="shared" si="22"/>
        <v>#N/A</v>
      </c>
      <c r="E185" s="3" t="str">
        <f t="shared" si="23"/>
        <v/>
      </c>
    </row>
    <row r="186" spans="1:5">
      <c r="A186">
        <v>185</v>
      </c>
      <c r="B186" t="e">
        <f t="shared" si="20"/>
        <v>#N/A</v>
      </c>
      <c r="C186" t="e">
        <f t="shared" si="21"/>
        <v>#N/A</v>
      </c>
      <c r="D186" t="e">
        <f t="shared" si="22"/>
        <v>#N/A</v>
      </c>
      <c r="E186" s="3" t="str">
        <f t="shared" si="23"/>
        <v/>
      </c>
    </row>
    <row r="187" spans="1:5">
      <c r="A187">
        <v>186</v>
      </c>
      <c r="B187" t="e">
        <f t="shared" si="20"/>
        <v>#N/A</v>
      </c>
      <c r="C187" t="e">
        <f t="shared" si="21"/>
        <v>#N/A</v>
      </c>
      <c r="D187" t="e">
        <f t="shared" si="22"/>
        <v>#N/A</v>
      </c>
      <c r="E187" s="3" t="str">
        <f t="shared" si="23"/>
        <v/>
      </c>
    </row>
    <row r="188" spans="1:5">
      <c r="A188">
        <v>187</v>
      </c>
      <c r="B188" t="e">
        <f t="shared" si="20"/>
        <v>#N/A</v>
      </c>
      <c r="C188" t="e">
        <f t="shared" si="21"/>
        <v>#N/A</v>
      </c>
      <c r="D188" t="e">
        <f t="shared" si="22"/>
        <v>#N/A</v>
      </c>
      <c r="E188" s="3" t="str">
        <f t="shared" si="23"/>
        <v/>
      </c>
    </row>
    <row r="189" spans="1:5">
      <c r="A189">
        <v>188</v>
      </c>
      <c r="B189" t="e">
        <f t="shared" si="20"/>
        <v>#N/A</v>
      </c>
      <c r="C189" t="e">
        <f t="shared" si="21"/>
        <v>#N/A</v>
      </c>
      <c r="D189" t="e">
        <f t="shared" si="22"/>
        <v>#N/A</v>
      </c>
      <c r="E189" s="3" t="str">
        <f t="shared" si="23"/>
        <v/>
      </c>
    </row>
    <row r="190" spans="1:5">
      <c r="A190">
        <v>189</v>
      </c>
      <c r="B190" t="e">
        <f t="shared" si="20"/>
        <v>#N/A</v>
      </c>
      <c r="C190" t="e">
        <f t="shared" si="21"/>
        <v>#N/A</v>
      </c>
      <c r="D190" t="e">
        <f t="shared" si="22"/>
        <v>#N/A</v>
      </c>
      <c r="E190" s="3" t="str">
        <f t="shared" si="23"/>
        <v/>
      </c>
    </row>
    <row r="191" spans="1:5">
      <c r="A191">
        <v>190</v>
      </c>
      <c r="B191" t="e">
        <f t="shared" si="20"/>
        <v>#N/A</v>
      </c>
      <c r="C191" t="e">
        <f t="shared" si="21"/>
        <v>#N/A</v>
      </c>
      <c r="D191" t="e">
        <f t="shared" si="22"/>
        <v>#N/A</v>
      </c>
      <c r="E191" s="3" t="str">
        <f t="shared" si="23"/>
        <v/>
      </c>
    </row>
    <row r="192" spans="1:5">
      <c r="A192">
        <v>191</v>
      </c>
      <c r="B192" t="e">
        <f t="shared" si="20"/>
        <v>#N/A</v>
      </c>
      <c r="C192" t="e">
        <f t="shared" si="21"/>
        <v>#N/A</v>
      </c>
      <c r="D192" t="e">
        <f t="shared" si="22"/>
        <v>#N/A</v>
      </c>
      <c r="E192" s="3" t="str">
        <f t="shared" si="23"/>
        <v/>
      </c>
    </row>
    <row r="193" spans="1:5">
      <c r="A193">
        <v>192</v>
      </c>
      <c r="B193" t="e">
        <f t="shared" si="20"/>
        <v>#N/A</v>
      </c>
      <c r="C193" t="e">
        <f t="shared" si="21"/>
        <v>#N/A</v>
      </c>
      <c r="D193" t="e">
        <f t="shared" si="22"/>
        <v>#N/A</v>
      </c>
      <c r="E193" s="3" t="str">
        <f t="shared" si="23"/>
        <v/>
      </c>
    </row>
    <row r="194" spans="1:5">
      <c r="A194">
        <v>193</v>
      </c>
      <c r="B194" t="e">
        <f t="shared" ref="B194:B200" si="24">IF(VLOOKUP(A198,ilmoittautuneet,2,0)="","",VLOOKUP(A198,ilmoittautuneet,2,0))</f>
        <v>#N/A</v>
      </c>
      <c r="C194" t="e">
        <f t="shared" ref="C194:C200" si="25">IF(VLOOKUP(A198,ilmoittautuneet,3,0)="","",VLOOKUP(A198,ilmoittautuneet,3,0))</f>
        <v>#N/A</v>
      </c>
      <c r="D194" t="e">
        <f t="shared" ref="D194:D200" si="26">IF(VLOOKUP(A194,ilmoittautuneet,4,0)="","",VLOOKUP(A194,ilmoittautuneet,4,0))</f>
        <v>#N/A</v>
      </c>
      <c r="E194" s="3" t="str">
        <f t="shared" ref="E194:E200" si="27">_xlfn.IFNA(VLOOKUP(A194,ajanottotaulukko,8,0),"")</f>
        <v/>
      </c>
    </row>
    <row r="195" spans="1:5">
      <c r="A195">
        <v>194</v>
      </c>
      <c r="B195" t="e">
        <f t="shared" si="24"/>
        <v>#N/A</v>
      </c>
      <c r="C195" t="e">
        <f t="shared" si="25"/>
        <v>#N/A</v>
      </c>
      <c r="D195" t="e">
        <f t="shared" si="26"/>
        <v>#N/A</v>
      </c>
      <c r="E195" s="3" t="str">
        <f t="shared" si="27"/>
        <v/>
      </c>
    </row>
    <row r="196" spans="1:5">
      <c r="A196">
        <v>195</v>
      </c>
      <c r="B196" t="e">
        <f t="shared" si="24"/>
        <v>#N/A</v>
      </c>
      <c r="C196" t="e">
        <f t="shared" si="25"/>
        <v>#N/A</v>
      </c>
      <c r="D196" t="e">
        <f t="shared" si="26"/>
        <v>#N/A</v>
      </c>
      <c r="E196" s="3" t="str">
        <f t="shared" si="27"/>
        <v/>
      </c>
    </row>
    <row r="197" spans="1:5">
      <c r="A197">
        <v>196</v>
      </c>
      <c r="B197" t="e">
        <f t="shared" si="24"/>
        <v>#N/A</v>
      </c>
      <c r="C197" t="e">
        <f t="shared" si="25"/>
        <v>#N/A</v>
      </c>
      <c r="D197" t="e">
        <f t="shared" si="26"/>
        <v>#N/A</v>
      </c>
      <c r="E197" s="3" t="str">
        <f t="shared" si="27"/>
        <v/>
      </c>
    </row>
    <row r="198" spans="1:5">
      <c r="A198">
        <v>197</v>
      </c>
      <c r="B198" t="e">
        <f t="shared" si="24"/>
        <v>#N/A</v>
      </c>
      <c r="C198" t="e">
        <f t="shared" si="25"/>
        <v>#N/A</v>
      </c>
      <c r="D198" t="e">
        <f t="shared" si="26"/>
        <v>#N/A</v>
      </c>
      <c r="E198" s="3" t="str">
        <f t="shared" si="27"/>
        <v/>
      </c>
    </row>
    <row r="199" spans="1:5">
      <c r="A199">
        <v>198</v>
      </c>
      <c r="B199" t="e">
        <f t="shared" si="24"/>
        <v>#N/A</v>
      </c>
      <c r="C199" t="e">
        <f t="shared" si="25"/>
        <v>#N/A</v>
      </c>
      <c r="D199" t="e">
        <f t="shared" si="26"/>
        <v>#N/A</v>
      </c>
      <c r="E199" s="3" t="str">
        <f t="shared" si="27"/>
        <v/>
      </c>
    </row>
    <row r="200" spans="1:5">
      <c r="A200">
        <v>199</v>
      </c>
      <c r="B200" t="e">
        <f t="shared" si="24"/>
        <v>#N/A</v>
      </c>
      <c r="C200" t="e">
        <f t="shared" si="25"/>
        <v>#N/A</v>
      </c>
      <c r="D200" t="e">
        <f t="shared" si="26"/>
        <v>#N/A</v>
      </c>
      <c r="E200" s="3" t="str">
        <f t="shared" si="27"/>
        <v/>
      </c>
    </row>
  </sheetData>
  <sortState xmlns:xlrd2="http://schemas.microsoft.com/office/spreadsheetml/2017/richdata2" ref="A7:E10">
    <sortCondition ref="E7:E10"/>
  </sortState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&amp;CSivu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0"/>
  <sheetViews>
    <sheetView workbookViewId="0">
      <selection activeCell="B2" sqref="B2:F7"/>
    </sheetView>
  </sheetViews>
  <sheetFormatPr defaultRowHeight="12.75"/>
  <cols>
    <col min="3" max="3" width="24.42578125" customWidth="1"/>
    <col min="7" max="7" width="13.5703125" customWidth="1"/>
  </cols>
  <sheetData>
    <row r="1" spans="1:7">
      <c r="A1" t="s">
        <v>16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</row>
    <row r="2" spans="1:7">
      <c r="A2">
        <v>1</v>
      </c>
      <c r="F2" s="3"/>
      <c r="G2" s="3">
        <f>F2-F$2</f>
        <v>0</v>
      </c>
    </row>
    <row r="3" spans="1:7">
      <c r="A3">
        <v>2</v>
      </c>
      <c r="F3" s="3"/>
      <c r="G3" s="3" t="str">
        <f>IF(F3="","",F3-F$2)</f>
        <v/>
      </c>
    </row>
    <row r="4" spans="1:7">
      <c r="A4">
        <v>2</v>
      </c>
      <c r="F4" s="3"/>
      <c r="G4" s="3" t="str">
        <f t="shared" ref="G4:G67" si="0">IF(F4="","",F4-F$2)</f>
        <v/>
      </c>
    </row>
    <row r="5" spans="1:7">
      <c r="A5">
        <v>2</v>
      </c>
      <c r="F5" s="3"/>
      <c r="G5" s="3" t="str">
        <f t="shared" si="0"/>
        <v/>
      </c>
    </row>
    <row r="6" spans="1:7">
      <c r="A6">
        <v>2</v>
      </c>
      <c r="F6" s="3"/>
      <c r="G6" s="3" t="str">
        <f t="shared" si="0"/>
        <v/>
      </c>
    </row>
    <row r="7" spans="1:7">
      <c r="A7">
        <v>6</v>
      </c>
      <c r="F7" s="3"/>
      <c r="G7" s="3" t="str">
        <f t="shared" si="0"/>
        <v/>
      </c>
    </row>
    <row r="8" spans="1:7">
      <c r="A8">
        <v>7</v>
      </c>
      <c r="F8" s="3"/>
      <c r="G8" s="3" t="str">
        <f t="shared" si="0"/>
        <v/>
      </c>
    </row>
    <row r="9" spans="1:7">
      <c r="A9">
        <v>8</v>
      </c>
      <c r="F9" s="3"/>
      <c r="G9" s="3" t="str">
        <f t="shared" si="0"/>
        <v/>
      </c>
    </row>
    <row r="10" spans="1:7">
      <c r="A10">
        <v>9</v>
      </c>
      <c r="G10" s="3" t="str">
        <f t="shared" si="0"/>
        <v/>
      </c>
    </row>
    <row r="11" spans="1:7">
      <c r="A11">
        <v>10</v>
      </c>
      <c r="G11" s="3" t="str">
        <f t="shared" si="0"/>
        <v/>
      </c>
    </row>
    <row r="12" spans="1:7">
      <c r="A12">
        <v>11</v>
      </c>
      <c r="G12" s="3" t="str">
        <f t="shared" si="0"/>
        <v/>
      </c>
    </row>
    <row r="13" spans="1:7">
      <c r="A13">
        <v>12</v>
      </c>
      <c r="G13" s="3" t="str">
        <f t="shared" si="0"/>
        <v/>
      </c>
    </row>
    <row r="14" spans="1:7">
      <c r="A14">
        <v>13</v>
      </c>
      <c r="G14" s="3" t="str">
        <f t="shared" si="0"/>
        <v/>
      </c>
    </row>
    <row r="15" spans="1:7">
      <c r="A15">
        <v>14</v>
      </c>
      <c r="G15" s="3" t="str">
        <f t="shared" si="0"/>
        <v/>
      </c>
    </row>
    <row r="16" spans="1:7">
      <c r="A16">
        <v>15</v>
      </c>
      <c r="G16" s="3" t="str">
        <f t="shared" si="0"/>
        <v/>
      </c>
    </row>
    <row r="17" spans="1:7">
      <c r="A17">
        <v>16</v>
      </c>
      <c r="G17" s="3" t="str">
        <f t="shared" si="0"/>
        <v/>
      </c>
    </row>
    <row r="18" spans="1:7">
      <c r="A18">
        <v>17</v>
      </c>
      <c r="G18" s="3" t="str">
        <f t="shared" si="0"/>
        <v/>
      </c>
    </row>
    <row r="19" spans="1:7">
      <c r="A19">
        <v>18</v>
      </c>
      <c r="G19" s="3" t="str">
        <f t="shared" si="0"/>
        <v/>
      </c>
    </row>
    <row r="20" spans="1:7">
      <c r="A20">
        <v>19</v>
      </c>
      <c r="G20" s="3" t="str">
        <f t="shared" si="0"/>
        <v/>
      </c>
    </row>
    <row r="21" spans="1:7">
      <c r="A21">
        <v>20</v>
      </c>
      <c r="G21" s="3" t="str">
        <f t="shared" si="0"/>
        <v/>
      </c>
    </row>
    <row r="22" spans="1:7">
      <c r="A22">
        <v>21</v>
      </c>
      <c r="G22" s="3" t="str">
        <f t="shared" si="0"/>
        <v/>
      </c>
    </row>
    <row r="23" spans="1:7">
      <c r="A23">
        <v>22</v>
      </c>
      <c r="G23" s="3" t="str">
        <f t="shared" si="0"/>
        <v/>
      </c>
    </row>
    <row r="24" spans="1:7">
      <c r="A24">
        <v>23</v>
      </c>
      <c r="G24" s="3" t="str">
        <f t="shared" si="0"/>
        <v/>
      </c>
    </row>
    <row r="25" spans="1:7">
      <c r="A25">
        <v>24</v>
      </c>
      <c r="G25" s="3" t="str">
        <f t="shared" si="0"/>
        <v/>
      </c>
    </row>
    <row r="26" spans="1:7">
      <c r="A26">
        <v>25</v>
      </c>
      <c r="G26" s="3" t="str">
        <f t="shared" si="0"/>
        <v/>
      </c>
    </row>
    <row r="27" spans="1:7">
      <c r="A27">
        <v>26</v>
      </c>
      <c r="G27" s="3" t="str">
        <f t="shared" si="0"/>
        <v/>
      </c>
    </row>
    <row r="28" spans="1:7">
      <c r="A28">
        <v>27</v>
      </c>
      <c r="G28" s="3" t="str">
        <f t="shared" si="0"/>
        <v/>
      </c>
    </row>
    <row r="29" spans="1:7">
      <c r="A29">
        <v>28</v>
      </c>
      <c r="G29" s="3" t="str">
        <f t="shared" si="0"/>
        <v/>
      </c>
    </row>
    <row r="30" spans="1:7">
      <c r="A30">
        <v>29</v>
      </c>
      <c r="G30" s="3" t="str">
        <f t="shared" si="0"/>
        <v/>
      </c>
    </row>
    <row r="31" spans="1:7">
      <c r="A31">
        <v>30</v>
      </c>
      <c r="G31" s="3" t="str">
        <f t="shared" si="0"/>
        <v/>
      </c>
    </row>
    <row r="32" spans="1:7">
      <c r="A32">
        <v>31</v>
      </c>
      <c r="G32" s="3" t="str">
        <f t="shared" si="0"/>
        <v/>
      </c>
    </row>
    <row r="33" spans="1:7">
      <c r="A33">
        <v>32</v>
      </c>
      <c r="G33" s="3" t="str">
        <f t="shared" si="0"/>
        <v/>
      </c>
    </row>
    <row r="34" spans="1:7">
      <c r="A34">
        <v>33</v>
      </c>
      <c r="G34" s="3" t="str">
        <f t="shared" si="0"/>
        <v/>
      </c>
    </row>
    <row r="35" spans="1:7">
      <c r="A35">
        <v>34</v>
      </c>
      <c r="G35" s="3" t="str">
        <f t="shared" si="0"/>
        <v/>
      </c>
    </row>
    <row r="36" spans="1:7">
      <c r="A36">
        <v>35</v>
      </c>
      <c r="G36" s="3" t="str">
        <f t="shared" si="0"/>
        <v/>
      </c>
    </row>
    <row r="37" spans="1:7">
      <c r="A37">
        <v>36</v>
      </c>
      <c r="G37" s="3" t="str">
        <f t="shared" si="0"/>
        <v/>
      </c>
    </row>
    <row r="38" spans="1:7">
      <c r="A38">
        <v>37</v>
      </c>
      <c r="G38" s="3" t="str">
        <f t="shared" si="0"/>
        <v/>
      </c>
    </row>
    <row r="39" spans="1:7">
      <c r="A39">
        <v>38</v>
      </c>
      <c r="G39" s="3" t="str">
        <f t="shared" si="0"/>
        <v/>
      </c>
    </row>
    <row r="40" spans="1:7">
      <c r="A40">
        <v>39</v>
      </c>
      <c r="G40" s="3" t="str">
        <f t="shared" si="0"/>
        <v/>
      </c>
    </row>
    <row r="41" spans="1:7">
      <c r="A41">
        <v>40</v>
      </c>
      <c r="G41" s="3" t="str">
        <f t="shared" si="0"/>
        <v/>
      </c>
    </row>
    <row r="42" spans="1:7">
      <c r="A42">
        <v>41</v>
      </c>
      <c r="G42" s="3" t="str">
        <f t="shared" si="0"/>
        <v/>
      </c>
    </row>
    <row r="43" spans="1:7">
      <c r="A43">
        <v>42</v>
      </c>
      <c r="G43" s="3" t="str">
        <f t="shared" si="0"/>
        <v/>
      </c>
    </row>
    <row r="44" spans="1:7">
      <c r="A44">
        <v>43</v>
      </c>
      <c r="G44" s="3" t="str">
        <f t="shared" si="0"/>
        <v/>
      </c>
    </row>
    <row r="45" spans="1:7">
      <c r="A45">
        <v>44</v>
      </c>
      <c r="G45" s="3" t="str">
        <f t="shared" si="0"/>
        <v/>
      </c>
    </row>
    <row r="46" spans="1:7">
      <c r="A46">
        <v>45</v>
      </c>
      <c r="G46" s="3" t="str">
        <f t="shared" si="0"/>
        <v/>
      </c>
    </row>
    <row r="47" spans="1:7">
      <c r="A47">
        <v>46</v>
      </c>
      <c r="G47" s="3" t="str">
        <f t="shared" si="0"/>
        <v/>
      </c>
    </row>
    <row r="48" spans="1:7">
      <c r="A48">
        <v>47</v>
      </c>
      <c r="G48" s="3" t="str">
        <f t="shared" si="0"/>
        <v/>
      </c>
    </row>
    <row r="49" spans="1:7">
      <c r="A49">
        <v>48</v>
      </c>
      <c r="G49" s="3" t="str">
        <f t="shared" si="0"/>
        <v/>
      </c>
    </row>
    <row r="50" spans="1:7">
      <c r="A50">
        <v>49</v>
      </c>
      <c r="G50" s="3" t="str">
        <f t="shared" si="0"/>
        <v/>
      </c>
    </row>
    <row r="51" spans="1:7">
      <c r="A51">
        <v>50</v>
      </c>
      <c r="G51" s="3" t="str">
        <f t="shared" si="0"/>
        <v/>
      </c>
    </row>
    <row r="52" spans="1:7">
      <c r="A52">
        <v>51</v>
      </c>
      <c r="G52" s="3" t="str">
        <f t="shared" si="0"/>
        <v/>
      </c>
    </row>
    <row r="53" spans="1:7">
      <c r="A53">
        <v>52</v>
      </c>
      <c r="G53" s="3" t="str">
        <f t="shared" si="0"/>
        <v/>
      </c>
    </row>
    <row r="54" spans="1:7">
      <c r="A54">
        <v>53</v>
      </c>
      <c r="G54" s="3" t="str">
        <f t="shared" si="0"/>
        <v/>
      </c>
    </row>
    <row r="55" spans="1:7">
      <c r="A55">
        <v>54</v>
      </c>
      <c r="G55" s="3" t="str">
        <f t="shared" si="0"/>
        <v/>
      </c>
    </row>
    <row r="56" spans="1:7">
      <c r="A56">
        <v>55</v>
      </c>
      <c r="G56" s="3" t="str">
        <f t="shared" si="0"/>
        <v/>
      </c>
    </row>
    <row r="57" spans="1:7">
      <c r="A57">
        <v>56</v>
      </c>
      <c r="G57" s="3" t="str">
        <f t="shared" si="0"/>
        <v/>
      </c>
    </row>
    <row r="58" spans="1:7">
      <c r="A58">
        <v>57</v>
      </c>
      <c r="G58" s="3" t="str">
        <f t="shared" si="0"/>
        <v/>
      </c>
    </row>
    <row r="59" spans="1:7">
      <c r="A59">
        <v>58</v>
      </c>
      <c r="G59" s="3" t="str">
        <f t="shared" si="0"/>
        <v/>
      </c>
    </row>
    <row r="60" spans="1:7">
      <c r="A60">
        <v>59</v>
      </c>
      <c r="G60" s="3" t="str">
        <f t="shared" si="0"/>
        <v/>
      </c>
    </row>
    <row r="61" spans="1:7">
      <c r="A61">
        <v>60</v>
      </c>
      <c r="G61" s="3" t="str">
        <f t="shared" si="0"/>
        <v/>
      </c>
    </row>
    <row r="62" spans="1:7">
      <c r="A62">
        <v>61</v>
      </c>
      <c r="G62" s="3" t="str">
        <f t="shared" si="0"/>
        <v/>
      </c>
    </row>
    <row r="63" spans="1:7">
      <c r="A63">
        <v>62</v>
      </c>
      <c r="G63" s="3" t="str">
        <f t="shared" si="0"/>
        <v/>
      </c>
    </row>
    <row r="64" spans="1:7">
      <c r="A64">
        <v>63</v>
      </c>
      <c r="G64" s="3" t="str">
        <f t="shared" si="0"/>
        <v/>
      </c>
    </row>
    <row r="65" spans="1:7">
      <c r="A65">
        <v>64</v>
      </c>
      <c r="G65" s="3" t="str">
        <f t="shared" si="0"/>
        <v/>
      </c>
    </row>
    <row r="66" spans="1:7">
      <c r="A66">
        <v>65</v>
      </c>
      <c r="G66" s="3" t="str">
        <f t="shared" si="0"/>
        <v/>
      </c>
    </row>
    <row r="67" spans="1:7">
      <c r="A67">
        <v>66</v>
      </c>
      <c r="G67" s="3" t="str">
        <f t="shared" si="0"/>
        <v/>
      </c>
    </row>
    <row r="68" spans="1:7">
      <c r="A68">
        <v>67</v>
      </c>
      <c r="G68" s="3" t="str">
        <f t="shared" ref="G68:G131" si="1">IF(F68="","",F68-F$2)</f>
        <v/>
      </c>
    </row>
    <row r="69" spans="1:7">
      <c r="A69">
        <v>68</v>
      </c>
      <c r="G69" s="3" t="str">
        <f t="shared" si="1"/>
        <v/>
      </c>
    </row>
    <row r="70" spans="1:7">
      <c r="A70">
        <v>69</v>
      </c>
      <c r="G70" s="3" t="str">
        <f t="shared" si="1"/>
        <v/>
      </c>
    </row>
    <row r="71" spans="1:7">
      <c r="A71">
        <v>70</v>
      </c>
      <c r="G71" s="3" t="str">
        <f t="shared" si="1"/>
        <v/>
      </c>
    </row>
    <row r="72" spans="1:7">
      <c r="A72">
        <v>71</v>
      </c>
      <c r="G72" s="3" t="str">
        <f t="shared" si="1"/>
        <v/>
      </c>
    </row>
    <row r="73" spans="1:7">
      <c r="A73">
        <v>72</v>
      </c>
      <c r="G73" s="3" t="str">
        <f t="shared" si="1"/>
        <v/>
      </c>
    </row>
    <row r="74" spans="1:7">
      <c r="A74">
        <v>73</v>
      </c>
      <c r="G74" s="3" t="str">
        <f t="shared" si="1"/>
        <v/>
      </c>
    </row>
    <row r="75" spans="1:7">
      <c r="A75">
        <v>74</v>
      </c>
      <c r="G75" s="3" t="str">
        <f t="shared" si="1"/>
        <v/>
      </c>
    </row>
    <row r="76" spans="1:7">
      <c r="A76">
        <v>75</v>
      </c>
      <c r="G76" s="3" t="str">
        <f t="shared" si="1"/>
        <v/>
      </c>
    </row>
    <row r="77" spans="1:7">
      <c r="A77">
        <v>76</v>
      </c>
      <c r="G77" s="3" t="str">
        <f t="shared" si="1"/>
        <v/>
      </c>
    </row>
    <row r="78" spans="1:7">
      <c r="A78">
        <v>77</v>
      </c>
      <c r="G78" s="3" t="str">
        <f t="shared" si="1"/>
        <v/>
      </c>
    </row>
    <row r="79" spans="1:7">
      <c r="A79">
        <v>78</v>
      </c>
      <c r="G79" s="3" t="str">
        <f t="shared" si="1"/>
        <v/>
      </c>
    </row>
    <row r="80" spans="1:7">
      <c r="A80">
        <v>79</v>
      </c>
      <c r="G80" s="3" t="str">
        <f t="shared" si="1"/>
        <v/>
      </c>
    </row>
    <row r="81" spans="1:7">
      <c r="A81">
        <v>80</v>
      </c>
      <c r="G81" s="3" t="str">
        <f t="shared" si="1"/>
        <v/>
      </c>
    </row>
    <row r="82" spans="1:7">
      <c r="A82">
        <v>81</v>
      </c>
      <c r="G82" s="3" t="str">
        <f t="shared" si="1"/>
        <v/>
      </c>
    </row>
    <row r="83" spans="1:7">
      <c r="A83">
        <v>82</v>
      </c>
      <c r="G83" s="3" t="str">
        <f t="shared" si="1"/>
        <v/>
      </c>
    </row>
    <row r="84" spans="1:7">
      <c r="A84">
        <v>83</v>
      </c>
      <c r="G84" s="3" t="str">
        <f t="shared" si="1"/>
        <v/>
      </c>
    </row>
    <row r="85" spans="1:7">
      <c r="A85">
        <v>84</v>
      </c>
      <c r="G85" s="3" t="str">
        <f t="shared" si="1"/>
        <v/>
      </c>
    </row>
    <row r="86" spans="1:7">
      <c r="A86">
        <v>85</v>
      </c>
      <c r="G86" s="3" t="str">
        <f t="shared" si="1"/>
        <v/>
      </c>
    </row>
    <row r="87" spans="1:7">
      <c r="A87">
        <v>86</v>
      </c>
      <c r="G87" s="3" t="str">
        <f t="shared" si="1"/>
        <v/>
      </c>
    </row>
    <row r="88" spans="1:7">
      <c r="A88">
        <v>87</v>
      </c>
      <c r="G88" s="3" t="str">
        <f t="shared" si="1"/>
        <v/>
      </c>
    </row>
    <row r="89" spans="1:7">
      <c r="A89">
        <v>88</v>
      </c>
      <c r="G89" s="3" t="str">
        <f t="shared" si="1"/>
        <v/>
      </c>
    </row>
    <row r="90" spans="1:7">
      <c r="A90">
        <v>89</v>
      </c>
      <c r="G90" s="3" t="str">
        <f t="shared" si="1"/>
        <v/>
      </c>
    </row>
    <row r="91" spans="1:7">
      <c r="A91">
        <v>90</v>
      </c>
      <c r="G91" s="3" t="str">
        <f t="shared" si="1"/>
        <v/>
      </c>
    </row>
    <row r="92" spans="1:7">
      <c r="A92">
        <v>91</v>
      </c>
      <c r="G92" s="3" t="str">
        <f t="shared" si="1"/>
        <v/>
      </c>
    </row>
    <row r="93" spans="1:7">
      <c r="A93">
        <v>92</v>
      </c>
      <c r="G93" s="3" t="str">
        <f t="shared" si="1"/>
        <v/>
      </c>
    </row>
    <row r="94" spans="1:7">
      <c r="A94">
        <v>93</v>
      </c>
      <c r="G94" s="3" t="str">
        <f t="shared" si="1"/>
        <v/>
      </c>
    </row>
    <row r="95" spans="1:7">
      <c r="A95">
        <v>94</v>
      </c>
      <c r="G95" s="3" t="str">
        <f t="shared" si="1"/>
        <v/>
      </c>
    </row>
    <row r="96" spans="1:7">
      <c r="A96">
        <v>95</v>
      </c>
      <c r="G96" s="3" t="str">
        <f t="shared" si="1"/>
        <v/>
      </c>
    </row>
    <row r="97" spans="1:7">
      <c r="A97">
        <v>96</v>
      </c>
      <c r="G97" s="3" t="str">
        <f t="shared" si="1"/>
        <v/>
      </c>
    </row>
    <row r="98" spans="1:7">
      <c r="A98">
        <v>97</v>
      </c>
      <c r="G98" s="3" t="str">
        <f t="shared" si="1"/>
        <v/>
      </c>
    </row>
    <row r="99" spans="1:7">
      <c r="A99">
        <v>98</v>
      </c>
      <c r="G99" s="3" t="str">
        <f t="shared" si="1"/>
        <v/>
      </c>
    </row>
    <row r="100" spans="1:7">
      <c r="A100">
        <v>99</v>
      </c>
      <c r="G100" s="3" t="str">
        <f t="shared" si="1"/>
        <v/>
      </c>
    </row>
    <row r="101" spans="1:7">
      <c r="A101">
        <v>100</v>
      </c>
      <c r="G101" s="3" t="str">
        <f t="shared" si="1"/>
        <v/>
      </c>
    </row>
    <row r="102" spans="1:7">
      <c r="A102">
        <v>101</v>
      </c>
      <c r="G102" s="3" t="str">
        <f t="shared" si="1"/>
        <v/>
      </c>
    </row>
    <row r="103" spans="1:7">
      <c r="A103">
        <v>102</v>
      </c>
      <c r="G103" s="3" t="str">
        <f t="shared" si="1"/>
        <v/>
      </c>
    </row>
    <row r="104" spans="1:7">
      <c r="A104">
        <v>103</v>
      </c>
      <c r="G104" s="3" t="str">
        <f t="shared" si="1"/>
        <v/>
      </c>
    </row>
    <row r="105" spans="1:7">
      <c r="A105">
        <v>104</v>
      </c>
      <c r="G105" s="3" t="str">
        <f t="shared" si="1"/>
        <v/>
      </c>
    </row>
    <row r="106" spans="1:7">
      <c r="A106">
        <v>105</v>
      </c>
      <c r="G106" s="3" t="str">
        <f t="shared" si="1"/>
        <v/>
      </c>
    </row>
    <row r="107" spans="1:7">
      <c r="A107">
        <v>106</v>
      </c>
      <c r="G107" s="3" t="str">
        <f t="shared" si="1"/>
        <v/>
      </c>
    </row>
    <row r="108" spans="1:7">
      <c r="A108">
        <v>107</v>
      </c>
      <c r="G108" s="3" t="str">
        <f t="shared" si="1"/>
        <v/>
      </c>
    </row>
    <row r="109" spans="1:7">
      <c r="A109">
        <v>108</v>
      </c>
      <c r="G109" s="3" t="str">
        <f t="shared" si="1"/>
        <v/>
      </c>
    </row>
    <row r="110" spans="1:7">
      <c r="A110">
        <v>109</v>
      </c>
      <c r="G110" s="3" t="str">
        <f t="shared" si="1"/>
        <v/>
      </c>
    </row>
    <row r="111" spans="1:7">
      <c r="A111">
        <v>110</v>
      </c>
      <c r="G111" s="3" t="str">
        <f t="shared" si="1"/>
        <v/>
      </c>
    </row>
    <row r="112" spans="1:7">
      <c r="A112">
        <v>111</v>
      </c>
      <c r="G112" s="3" t="str">
        <f t="shared" si="1"/>
        <v/>
      </c>
    </row>
    <row r="113" spans="1:7">
      <c r="A113">
        <v>112</v>
      </c>
      <c r="G113" s="3" t="str">
        <f t="shared" si="1"/>
        <v/>
      </c>
    </row>
    <row r="114" spans="1:7">
      <c r="A114">
        <v>113</v>
      </c>
      <c r="G114" s="3" t="str">
        <f t="shared" si="1"/>
        <v/>
      </c>
    </row>
    <row r="115" spans="1:7">
      <c r="A115">
        <v>114</v>
      </c>
      <c r="G115" s="3" t="str">
        <f t="shared" si="1"/>
        <v/>
      </c>
    </row>
    <row r="116" spans="1:7">
      <c r="A116">
        <v>115</v>
      </c>
      <c r="G116" s="3" t="str">
        <f t="shared" si="1"/>
        <v/>
      </c>
    </row>
    <row r="117" spans="1:7">
      <c r="A117">
        <v>116</v>
      </c>
      <c r="G117" s="3" t="str">
        <f t="shared" si="1"/>
        <v/>
      </c>
    </row>
    <row r="118" spans="1:7">
      <c r="A118">
        <v>117</v>
      </c>
      <c r="G118" s="3" t="str">
        <f t="shared" si="1"/>
        <v/>
      </c>
    </row>
    <row r="119" spans="1:7">
      <c r="A119">
        <v>118</v>
      </c>
      <c r="G119" s="3" t="str">
        <f t="shared" si="1"/>
        <v/>
      </c>
    </row>
    <row r="120" spans="1:7">
      <c r="A120">
        <v>119</v>
      </c>
      <c r="G120" s="3" t="str">
        <f t="shared" si="1"/>
        <v/>
      </c>
    </row>
    <row r="121" spans="1:7">
      <c r="A121">
        <v>120</v>
      </c>
      <c r="G121" s="3" t="str">
        <f t="shared" si="1"/>
        <v/>
      </c>
    </row>
    <row r="122" spans="1:7">
      <c r="A122">
        <v>121</v>
      </c>
      <c r="G122" s="3" t="str">
        <f t="shared" si="1"/>
        <v/>
      </c>
    </row>
    <row r="123" spans="1:7">
      <c r="A123">
        <v>122</v>
      </c>
      <c r="G123" s="3" t="str">
        <f t="shared" si="1"/>
        <v/>
      </c>
    </row>
    <row r="124" spans="1:7">
      <c r="A124">
        <v>123</v>
      </c>
      <c r="G124" s="3" t="str">
        <f t="shared" si="1"/>
        <v/>
      </c>
    </row>
    <row r="125" spans="1:7">
      <c r="A125">
        <v>124</v>
      </c>
      <c r="G125" s="3" t="str">
        <f t="shared" si="1"/>
        <v/>
      </c>
    </row>
    <row r="126" spans="1:7">
      <c r="A126">
        <v>125</v>
      </c>
      <c r="G126" s="3" t="str">
        <f t="shared" si="1"/>
        <v/>
      </c>
    </row>
    <row r="127" spans="1:7">
      <c r="A127">
        <v>126</v>
      </c>
      <c r="G127" s="3" t="str">
        <f t="shared" si="1"/>
        <v/>
      </c>
    </row>
    <row r="128" spans="1:7">
      <c r="A128">
        <v>127</v>
      </c>
      <c r="G128" s="3" t="str">
        <f t="shared" si="1"/>
        <v/>
      </c>
    </row>
    <row r="129" spans="1:7">
      <c r="A129">
        <v>128</v>
      </c>
      <c r="G129" s="3" t="str">
        <f t="shared" si="1"/>
        <v/>
      </c>
    </row>
    <row r="130" spans="1:7">
      <c r="A130">
        <v>129</v>
      </c>
      <c r="G130" s="3" t="str">
        <f t="shared" si="1"/>
        <v/>
      </c>
    </row>
    <row r="131" spans="1:7">
      <c r="A131">
        <v>130</v>
      </c>
      <c r="G131" s="3" t="str">
        <f t="shared" si="1"/>
        <v/>
      </c>
    </row>
    <row r="132" spans="1:7">
      <c r="A132">
        <v>131</v>
      </c>
      <c r="G132" s="3" t="str">
        <f t="shared" ref="G132:G195" si="2">IF(F132="","",F132-F$2)</f>
        <v/>
      </c>
    </row>
    <row r="133" spans="1:7">
      <c r="A133">
        <v>132</v>
      </c>
      <c r="G133" s="3" t="str">
        <f t="shared" si="2"/>
        <v/>
      </c>
    </row>
    <row r="134" spans="1:7">
      <c r="A134">
        <v>133</v>
      </c>
      <c r="G134" s="3" t="str">
        <f t="shared" si="2"/>
        <v/>
      </c>
    </row>
    <row r="135" spans="1:7">
      <c r="A135">
        <v>134</v>
      </c>
      <c r="G135" s="3" t="str">
        <f t="shared" si="2"/>
        <v/>
      </c>
    </row>
    <row r="136" spans="1:7">
      <c r="A136">
        <v>135</v>
      </c>
      <c r="G136" s="3" t="str">
        <f t="shared" si="2"/>
        <v/>
      </c>
    </row>
    <row r="137" spans="1:7">
      <c r="A137">
        <v>136</v>
      </c>
      <c r="G137" s="3" t="str">
        <f t="shared" si="2"/>
        <v/>
      </c>
    </row>
    <row r="138" spans="1:7">
      <c r="A138">
        <v>137</v>
      </c>
      <c r="G138" s="3" t="str">
        <f t="shared" si="2"/>
        <v/>
      </c>
    </row>
    <row r="139" spans="1:7">
      <c r="A139">
        <v>138</v>
      </c>
      <c r="G139" s="3" t="str">
        <f t="shared" si="2"/>
        <v/>
      </c>
    </row>
    <row r="140" spans="1:7">
      <c r="A140">
        <v>139</v>
      </c>
      <c r="G140" s="3" t="str">
        <f t="shared" si="2"/>
        <v/>
      </c>
    </row>
    <row r="141" spans="1:7">
      <c r="A141">
        <v>140</v>
      </c>
      <c r="G141" s="3" t="str">
        <f t="shared" si="2"/>
        <v/>
      </c>
    </row>
    <row r="142" spans="1:7">
      <c r="A142">
        <v>141</v>
      </c>
      <c r="G142" s="3" t="str">
        <f t="shared" si="2"/>
        <v/>
      </c>
    </row>
    <row r="143" spans="1:7">
      <c r="A143">
        <v>142</v>
      </c>
      <c r="G143" s="3" t="str">
        <f t="shared" si="2"/>
        <v/>
      </c>
    </row>
    <row r="144" spans="1:7">
      <c r="A144">
        <v>143</v>
      </c>
      <c r="G144" s="3" t="str">
        <f t="shared" si="2"/>
        <v/>
      </c>
    </row>
    <row r="145" spans="1:7">
      <c r="A145">
        <v>144</v>
      </c>
      <c r="G145" s="3" t="str">
        <f t="shared" si="2"/>
        <v/>
      </c>
    </row>
    <row r="146" spans="1:7">
      <c r="A146">
        <v>145</v>
      </c>
      <c r="G146" s="3" t="str">
        <f t="shared" si="2"/>
        <v/>
      </c>
    </row>
    <row r="147" spans="1:7">
      <c r="A147">
        <v>146</v>
      </c>
      <c r="G147" s="3" t="str">
        <f t="shared" si="2"/>
        <v/>
      </c>
    </row>
    <row r="148" spans="1:7">
      <c r="A148">
        <v>147</v>
      </c>
      <c r="G148" s="3" t="str">
        <f t="shared" si="2"/>
        <v/>
      </c>
    </row>
    <row r="149" spans="1:7">
      <c r="A149">
        <v>148</v>
      </c>
      <c r="G149" s="3" t="str">
        <f t="shared" si="2"/>
        <v/>
      </c>
    </row>
    <row r="150" spans="1:7">
      <c r="A150">
        <v>149</v>
      </c>
      <c r="G150" s="3" t="str">
        <f t="shared" si="2"/>
        <v/>
      </c>
    </row>
    <row r="151" spans="1:7">
      <c r="A151">
        <v>150</v>
      </c>
      <c r="G151" s="3" t="str">
        <f t="shared" si="2"/>
        <v/>
      </c>
    </row>
    <row r="152" spans="1:7">
      <c r="A152">
        <v>151</v>
      </c>
      <c r="G152" s="3" t="str">
        <f t="shared" si="2"/>
        <v/>
      </c>
    </row>
    <row r="153" spans="1:7">
      <c r="A153">
        <v>152</v>
      </c>
      <c r="G153" s="3" t="str">
        <f t="shared" si="2"/>
        <v/>
      </c>
    </row>
    <row r="154" spans="1:7">
      <c r="A154">
        <v>153</v>
      </c>
      <c r="G154" s="3" t="str">
        <f t="shared" si="2"/>
        <v/>
      </c>
    </row>
    <row r="155" spans="1:7">
      <c r="A155">
        <v>154</v>
      </c>
      <c r="G155" s="3" t="str">
        <f t="shared" si="2"/>
        <v/>
      </c>
    </row>
    <row r="156" spans="1:7">
      <c r="A156">
        <v>155</v>
      </c>
      <c r="G156" s="3" t="str">
        <f t="shared" si="2"/>
        <v/>
      </c>
    </row>
    <row r="157" spans="1:7">
      <c r="A157">
        <v>156</v>
      </c>
      <c r="G157" s="3" t="str">
        <f t="shared" si="2"/>
        <v/>
      </c>
    </row>
    <row r="158" spans="1:7">
      <c r="A158">
        <v>157</v>
      </c>
      <c r="G158" s="3" t="str">
        <f t="shared" si="2"/>
        <v/>
      </c>
    </row>
    <row r="159" spans="1:7">
      <c r="A159">
        <v>158</v>
      </c>
      <c r="G159" s="3" t="str">
        <f t="shared" si="2"/>
        <v/>
      </c>
    </row>
    <row r="160" spans="1:7">
      <c r="A160">
        <v>159</v>
      </c>
      <c r="G160" s="3" t="str">
        <f t="shared" si="2"/>
        <v/>
      </c>
    </row>
    <row r="161" spans="1:7">
      <c r="A161">
        <v>160</v>
      </c>
      <c r="G161" s="3" t="str">
        <f t="shared" si="2"/>
        <v/>
      </c>
    </row>
    <row r="162" spans="1:7">
      <c r="A162">
        <v>161</v>
      </c>
      <c r="G162" s="3" t="str">
        <f t="shared" si="2"/>
        <v/>
      </c>
    </row>
    <row r="163" spans="1:7">
      <c r="A163">
        <v>162</v>
      </c>
      <c r="G163" s="3" t="str">
        <f t="shared" si="2"/>
        <v/>
      </c>
    </row>
    <row r="164" spans="1:7">
      <c r="A164">
        <v>163</v>
      </c>
      <c r="G164" s="3" t="str">
        <f t="shared" si="2"/>
        <v/>
      </c>
    </row>
    <row r="165" spans="1:7">
      <c r="A165">
        <v>164</v>
      </c>
      <c r="G165" s="3" t="str">
        <f t="shared" si="2"/>
        <v/>
      </c>
    </row>
    <row r="166" spans="1:7">
      <c r="A166">
        <v>165</v>
      </c>
      <c r="G166" s="3" t="str">
        <f t="shared" si="2"/>
        <v/>
      </c>
    </row>
    <row r="167" spans="1:7">
      <c r="A167">
        <v>166</v>
      </c>
      <c r="G167" s="3" t="str">
        <f t="shared" si="2"/>
        <v/>
      </c>
    </row>
    <row r="168" spans="1:7">
      <c r="A168">
        <v>167</v>
      </c>
      <c r="G168" s="3" t="str">
        <f t="shared" si="2"/>
        <v/>
      </c>
    </row>
    <row r="169" spans="1:7">
      <c r="A169">
        <v>168</v>
      </c>
      <c r="G169" s="3" t="str">
        <f t="shared" si="2"/>
        <v/>
      </c>
    </row>
    <row r="170" spans="1:7">
      <c r="A170">
        <v>169</v>
      </c>
      <c r="G170" s="3" t="str">
        <f t="shared" si="2"/>
        <v/>
      </c>
    </row>
    <row r="171" spans="1:7">
      <c r="A171">
        <v>170</v>
      </c>
      <c r="G171" s="3" t="str">
        <f t="shared" si="2"/>
        <v/>
      </c>
    </row>
    <row r="172" spans="1:7">
      <c r="A172">
        <v>171</v>
      </c>
      <c r="G172" s="3" t="str">
        <f t="shared" si="2"/>
        <v/>
      </c>
    </row>
    <row r="173" spans="1:7">
      <c r="A173">
        <v>172</v>
      </c>
      <c r="G173" s="3" t="str">
        <f t="shared" si="2"/>
        <v/>
      </c>
    </row>
    <row r="174" spans="1:7">
      <c r="A174">
        <v>173</v>
      </c>
      <c r="G174" s="3" t="str">
        <f t="shared" si="2"/>
        <v/>
      </c>
    </row>
    <row r="175" spans="1:7">
      <c r="A175">
        <v>174</v>
      </c>
      <c r="G175" s="3" t="str">
        <f t="shared" si="2"/>
        <v/>
      </c>
    </row>
    <row r="176" spans="1:7">
      <c r="A176">
        <v>175</v>
      </c>
      <c r="G176" s="3" t="str">
        <f t="shared" si="2"/>
        <v/>
      </c>
    </row>
    <row r="177" spans="1:7">
      <c r="A177">
        <v>176</v>
      </c>
      <c r="G177" s="3" t="str">
        <f t="shared" si="2"/>
        <v/>
      </c>
    </row>
    <row r="178" spans="1:7">
      <c r="A178">
        <v>177</v>
      </c>
      <c r="G178" s="3" t="str">
        <f t="shared" si="2"/>
        <v/>
      </c>
    </row>
    <row r="179" spans="1:7">
      <c r="A179">
        <v>178</v>
      </c>
      <c r="G179" s="3" t="str">
        <f t="shared" si="2"/>
        <v/>
      </c>
    </row>
    <row r="180" spans="1:7">
      <c r="A180">
        <v>179</v>
      </c>
      <c r="G180" s="3" t="str">
        <f t="shared" si="2"/>
        <v/>
      </c>
    </row>
    <row r="181" spans="1:7">
      <c r="A181">
        <v>180</v>
      </c>
      <c r="G181" s="3" t="str">
        <f t="shared" si="2"/>
        <v/>
      </c>
    </row>
    <row r="182" spans="1:7">
      <c r="A182">
        <v>181</v>
      </c>
      <c r="G182" s="3" t="str">
        <f t="shared" si="2"/>
        <v/>
      </c>
    </row>
    <row r="183" spans="1:7">
      <c r="A183">
        <v>182</v>
      </c>
      <c r="G183" s="3" t="str">
        <f t="shared" si="2"/>
        <v/>
      </c>
    </row>
    <row r="184" spans="1:7">
      <c r="A184">
        <v>183</v>
      </c>
      <c r="G184" s="3" t="str">
        <f t="shared" si="2"/>
        <v/>
      </c>
    </row>
    <row r="185" spans="1:7">
      <c r="A185">
        <v>184</v>
      </c>
      <c r="G185" s="3" t="str">
        <f t="shared" si="2"/>
        <v/>
      </c>
    </row>
    <row r="186" spans="1:7">
      <c r="A186">
        <v>185</v>
      </c>
      <c r="G186" s="3" t="str">
        <f t="shared" si="2"/>
        <v/>
      </c>
    </row>
    <row r="187" spans="1:7">
      <c r="A187">
        <v>186</v>
      </c>
      <c r="G187" s="3" t="str">
        <f t="shared" si="2"/>
        <v/>
      </c>
    </row>
    <row r="188" spans="1:7">
      <c r="A188">
        <v>187</v>
      </c>
      <c r="G188" s="3" t="str">
        <f t="shared" si="2"/>
        <v/>
      </c>
    </row>
    <row r="189" spans="1:7">
      <c r="A189">
        <v>188</v>
      </c>
      <c r="G189" s="3" t="str">
        <f t="shared" si="2"/>
        <v/>
      </c>
    </row>
    <row r="190" spans="1:7">
      <c r="A190">
        <v>189</v>
      </c>
      <c r="G190" s="3" t="str">
        <f t="shared" si="2"/>
        <v/>
      </c>
    </row>
    <row r="191" spans="1:7">
      <c r="A191">
        <v>190</v>
      </c>
      <c r="G191" s="3" t="str">
        <f t="shared" si="2"/>
        <v/>
      </c>
    </row>
    <row r="192" spans="1:7">
      <c r="A192">
        <v>191</v>
      </c>
      <c r="G192" s="3" t="str">
        <f t="shared" si="2"/>
        <v/>
      </c>
    </row>
    <row r="193" spans="1:7">
      <c r="A193">
        <v>192</v>
      </c>
      <c r="G193" s="3" t="str">
        <f t="shared" si="2"/>
        <v/>
      </c>
    </row>
    <row r="194" spans="1:7">
      <c r="A194">
        <v>193</v>
      </c>
      <c r="G194" s="3" t="str">
        <f t="shared" si="2"/>
        <v/>
      </c>
    </row>
    <row r="195" spans="1:7">
      <c r="A195">
        <v>194</v>
      </c>
      <c r="G195" s="3" t="str">
        <f t="shared" si="2"/>
        <v/>
      </c>
    </row>
    <row r="196" spans="1:7">
      <c r="A196">
        <v>195</v>
      </c>
      <c r="G196" s="3" t="str">
        <f t="shared" ref="G196:G200" si="3">IF(F196="","",F196-F$2)</f>
        <v/>
      </c>
    </row>
    <row r="197" spans="1:7">
      <c r="A197">
        <v>196</v>
      </c>
      <c r="G197" s="3" t="str">
        <f t="shared" si="3"/>
        <v/>
      </c>
    </row>
    <row r="198" spans="1:7">
      <c r="A198">
        <v>197</v>
      </c>
      <c r="G198" s="3" t="str">
        <f t="shared" si="3"/>
        <v/>
      </c>
    </row>
    <row r="199" spans="1:7">
      <c r="A199">
        <v>198</v>
      </c>
      <c r="G199" s="3" t="str">
        <f t="shared" si="3"/>
        <v/>
      </c>
    </row>
    <row r="200" spans="1:7">
      <c r="A200">
        <v>199</v>
      </c>
      <c r="G200" s="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CA292-B3E2-4C62-B3A6-BED992AE0CB6}">
  <sheetPr codeName="Sheet5"/>
  <dimension ref="A1"/>
  <sheetViews>
    <sheetView workbookViewId="0">
      <selection sqref="A1:XFD1048576"/>
    </sheetView>
  </sheetViews>
  <sheetFormatPr defaultRowHeight="12.75"/>
  <cols>
    <col min="2" max="2" width="11.28515625" bestFit="1" customWidth="1"/>
    <col min="3" max="3" width="20.28515625" bestFit="1" customWidth="1"/>
    <col min="4" max="4" width="14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ilmoittautumiset</vt:lpstr>
      <vt:lpstr>ajanotto</vt:lpstr>
      <vt:lpstr>tulokset</vt:lpstr>
      <vt:lpstr>tulostaulukko</vt:lpstr>
      <vt:lpstr>Sheet1</vt:lpstr>
      <vt:lpstr>ajanottotaulukko</vt:lpstr>
      <vt:lpstr>ilmoittautuneet</vt:lpstr>
      <vt:lpstr>maaliajat</vt:lpstr>
      <vt:lpstr>tulosdata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IEUser</dc:creator>
  <cp:keywords/>
  <dc:description/>
  <cp:lastModifiedBy>Kivelä, Ilkka</cp:lastModifiedBy>
  <cp:revision>38</cp:revision>
  <dcterms:created xsi:type="dcterms:W3CDTF">2018-06-13T10:19:27Z</dcterms:created>
  <dcterms:modified xsi:type="dcterms:W3CDTF">2021-12-22T06:47:00Z</dcterms:modified>
  <cp:category/>
  <cp:contentStatus/>
</cp:coreProperties>
</file>